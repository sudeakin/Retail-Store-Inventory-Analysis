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ude Akın\Desktop\"/>
    </mc:Choice>
  </mc:AlternateContent>
  <xr:revisionPtr revIDLastSave="0" documentId="13_ncr:1_{82FB64BD-6FED-4B6A-B9AD-E1DD1FB7E36E}" xr6:coauthVersionLast="47" xr6:coauthVersionMax="47" xr10:uidLastSave="{00000000-0000-0000-0000-000000000000}"/>
  <bookViews>
    <workbookView xWindow="-108" yWindow="-108" windowWidth="23256" windowHeight="12456" activeTab="1" xr2:uid="{E1A83F16-06E1-4D64-9360-7EA92B0FC419}"/>
  </bookViews>
  <sheets>
    <sheet name="Retail Store Inventory" sheetId="1" r:id="rId1"/>
    <sheet name="Pivot Analysis&amp;Charts" sheetId="2" r:id="rId2"/>
    <sheet name="DashBoard" sheetId="6" r:id="rId3"/>
    <sheet name="Sheet3" sheetId="5" state="hidden" r:id="rId4"/>
  </sheets>
  <definedNames>
    <definedName name="Slicer_Category">#N/A</definedName>
    <definedName name="Slicer_Region">#N/A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2" i="6" l="1"/>
  <c r="AD13" i="6" l="1"/>
  <c r="AD14" i="6"/>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 r="AD11" i="6" l="1"/>
</calcChain>
</file>

<file path=xl/sharedStrings.xml><?xml version="1.0" encoding="utf-8"?>
<sst xmlns="http://schemas.openxmlformats.org/spreadsheetml/2006/main" count="3177" uniqueCount="121">
  <si>
    <t>Date</t>
  </si>
  <si>
    <t>Store ID</t>
  </si>
  <si>
    <t>Product ID</t>
  </si>
  <si>
    <t>Category</t>
  </si>
  <si>
    <t>Region</t>
  </si>
  <si>
    <t>Inventory Level</t>
  </si>
  <si>
    <t>Units Sold</t>
  </si>
  <si>
    <t>Units Ordered</t>
  </si>
  <si>
    <t>Demand Forecast</t>
  </si>
  <si>
    <t>Price</t>
  </si>
  <si>
    <t>Discount</t>
  </si>
  <si>
    <t>Weather Condition</t>
  </si>
  <si>
    <t>Holiday/Promotion</t>
  </si>
  <si>
    <t>Competitor Pricing</t>
  </si>
  <si>
    <t>Seasonality</t>
  </si>
  <si>
    <t>S001</t>
  </si>
  <si>
    <t>P0001</t>
  </si>
  <si>
    <t>Groceries</t>
  </si>
  <si>
    <t>North</t>
  </si>
  <si>
    <t>Rainy</t>
  </si>
  <si>
    <t>Autumn</t>
  </si>
  <si>
    <t>P0002</t>
  </si>
  <si>
    <t>Toys</t>
  </si>
  <si>
    <t>South</t>
  </si>
  <si>
    <t>Sunny</t>
  </si>
  <si>
    <t>P0003</t>
  </si>
  <si>
    <t>West</t>
  </si>
  <si>
    <t>Summer</t>
  </si>
  <si>
    <t>P0004</t>
  </si>
  <si>
    <t>Cloudy</t>
  </si>
  <si>
    <t>P0005</t>
  </si>
  <si>
    <t>Electronics</t>
  </si>
  <si>
    <t>East</t>
  </si>
  <si>
    <t>P0006</t>
  </si>
  <si>
    <t>Winter</t>
  </si>
  <si>
    <t>P0007</t>
  </si>
  <si>
    <t>Furniture</t>
  </si>
  <si>
    <t>P0008</t>
  </si>
  <si>
    <t>Clothing</t>
  </si>
  <si>
    <t>Spring</t>
  </si>
  <si>
    <t>P0009</t>
  </si>
  <si>
    <t>P0010</t>
  </si>
  <si>
    <t>P0011</t>
  </si>
  <si>
    <t>P0012</t>
  </si>
  <si>
    <t>Snowy</t>
  </si>
  <si>
    <t>P0013</t>
  </si>
  <si>
    <t>P0014</t>
  </si>
  <si>
    <t>P0015</t>
  </si>
  <si>
    <t>P0016</t>
  </si>
  <si>
    <t>P0017</t>
  </si>
  <si>
    <t>P0018</t>
  </si>
  <si>
    <t>P0019</t>
  </si>
  <si>
    <t>P0020</t>
  </si>
  <si>
    <t>S002</t>
  </si>
  <si>
    <t>S003</t>
  </si>
  <si>
    <t>S004</t>
  </si>
  <si>
    <t>S005</t>
  </si>
  <si>
    <t>Sales by Product Category:</t>
  </si>
  <si>
    <t>Row Labels</t>
  </si>
  <si>
    <t>Grand Total</t>
  </si>
  <si>
    <t>Sum of Units Sold</t>
  </si>
  <si>
    <t>sales.</t>
  </si>
  <si>
    <r>
      <rPr>
        <sz val="11"/>
        <color rgb="FFC00000"/>
        <rFont val="Calibri"/>
        <family val="2"/>
        <charset val="162"/>
        <scheme val="minor"/>
      </rPr>
      <t>Objective:</t>
    </r>
    <r>
      <rPr>
        <sz val="11"/>
        <color theme="1"/>
        <rFont val="Calibri"/>
        <family val="2"/>
        <charset val="162"/>
        <scheme val="minor"/>
      </rPr>
      <t xml:space="preserve"> Analyze which product </t>
    </r>
  </si>
  <si>
    <t>categories generates the highest</t>
  </si>
  <si>
    <t>Sales Performance by Region:</t>
  </si>
  <si>
    <t xml:space="preserve"> vary across different </t>
  </si>
  <si>
    <t xml:space="preserve">geographic regions. </t>
  </si>
  <si>
    <r>
      <rPr>
        <sz val="11"/>
        <color rgb="FFC00000"/>
        <rFont val="Calibri"/>
        <family val="2"/>
        <charset val="162"/>
        <scheme val="minor"/>
      </rPr>
      <t>Objective:</t>
    </r>
    <r>
      <rPr>
        <sz val="11"/>
        <color theme="1"/>
        <rFont val="Calibri"/>
        <family val="2"/>
        <charset val="162"/>
        <scheme val="minor"/>
      </rPr>
      <t>Understand how sales</t>
    </r>
  </si>
  <si>
    <t>This pivot table shows total units</t>
  </si>
  <si>
    <t>sold for each product category.</t>
  </si>
  <si>
    <t>It helps identify which categories</t>
  </si>
  <si>
    <t>performance.</t>
  </si>
  <si>
    <t>contribute most to overall sales</t>
  </si>
  <si>
    <t>This analysis highlights regional</t>
  </si>
  <si>
    <t>differences in sales. Some regions</t>
  </si>
  <si>
    <t>may show significantly higher</t>
  </si>
  <si>
    <t>demand compared to others.</t>
  </si>
  <si>
    <t>Seasonal Demand Analysis:</t>
  </si>
  <si>
    <t>seasonality influences product</t>
  </si>
  <si>
    <t>demand.</t>
  </si>
  <si>
    <r>
      <rPr>
        <sz val="11"/>
        <color rgb="FFC00000"/>
        <rFont val="Calibri"/>
        <family val="2"/>
        <charset val="162"/>
        <scheme val="minor"/>
      </rPr>
      <t>Objective:</t>
    </r>
    <r>
      <rPr>
        <sz val="11"/>
        <color theme="1"/>
        <rFont val="Calibri"/>
        <family val="2"/>
        <charset val="162"/>
        <scheme val="minor"/>
      </rPr>
      <t xml:space="preserve"> Examine how </t>
    </r>
  </si>
  <si>
    <t>This pivot helps identify seasonal</t>
  </si>
  <si>
    <t>demand patterns. Certain seasons</t>
  </si>
  <si>
    <t>may show increased sales due to</t>
  </si>
  <si>
    <t>consumer behavior or seasonal</t>
  </si>
  <si>
    <t>demand fluctuations.</t>
  </si>
  <si>
    <t>Average Price by Product Category:</t>
  </si>
  <si>
    <r>
      <rPr>
        <sz val="11"/>
        <color rgb="FFC00000"/>
        <rFont val="Calibri"/>
        <family val="2"/>
        <charset val="162"/>
        <scheme val="minor"/>
      </rPr>
      <t>Objective:</t>
    </r>
    <r>
      <rPr>
        <sz val="11"/>
        <color theme="1"/>
        <rFont val="Calibri"/>
        <family val="2"/>
        <charset val="162"/>
        <scheme val="minor"/>
      </rPr>
      <t xml:space="preserve"> Compare average </t>
    </r>
  </si>
  <si>
    <t>Average of Price</t>
  </si>
  <si>
    <t>product prices across</t>
  </si>
  <si>
    <t>different categories.</t>
  </si>
  <si>
    <t xml:space="preserve">This pivot table shows the </t>
  </si>
  <si>
    <t>average price of products in each</t>
  </si>
  <si>
    <t xml:space="preserve">category. It helps understand </t>
  </si>
  <si>
    <t xml:space="preserve">pricing strategies and </t>
  </si>
  <si>
    <t>category-level price differences.</t>
  </si>
  <si>
    <t>Inventory Efficiency Analysis:</t>
  </si>
  <si>
    <t>into sales.</t>
  </si>
  <si>
    <t>efficiently inventory is converted</t>
  </si>
  <si>
    <r>
      <rPr>
        <sz val="11"/>
        <color rgb="FFC00000"/>
        <rFont val="Calibri"/>
        <family val="2"/>
        <charset val="162"/>
        <scheme val="minor"/>
      </rPr>
      <t>Objective:</t>
    </r>
    <r>
      <rPr>
        <sz val="11"/>
        <color theme="1"/>
        <rFont val="Calibri"/>
        <family val="2"/>
        <charset val="162"/>
        <scheme val="minor"/>
      </rPr>
      <t xml:space="preserve"> Measure how </t>
    </r>
  </si>
  <si>
    <t>Average of Stock Efficiency</t>
  </si>
  <si>
    <t>inventory is utilized across categories.</t>
  </si>
  <si>
    <t>Competitive Pricing Analysis:</t>
  </si>
  <si>
    <t>with competitor pricing.</t>
  </si>
  <si>
    <r>
      <rPr>
        <sz val="11"/>
        <color rgb="FFC00000"/>
        <rFont val="Calibri"/>
        <family val="2"/>
        <charset val="162"/>
        <scheme val="minor"/>
      </rPr>
      <t>Objective:</t>
    </r>
    <r>
      <rPr>
        <sz val="11"/>
        <color theme="1"/>
        <rFont val="Calibri"/>
        <family val="2"/>
        <charset val="162"/>
        <scheme val="minor"/>
      </rPr>
      <t xml:space="preserve"> Compare company pricing</t>
    </r>
  </si>
  <si>
    <t>Average of Price Difference</t>
  </si>
  <si>
    <t>Stock Efficiency</t>
  </si>
  <si>
    <t>This pivot evaluates how efficiently</t>
  </si>
  <si>
    <t>Higher values indicate better stock</t>
  </si>
  <si>
    <t>turnover.</t>
  </si>
  <si>
    <t>Price Difference</t>
  </si>
  <si>
    <t>This analysis compares company prices</t>
  </si>
  <si>
    <t>with competitor prices. Negative values</t>
  </si>
  <si>
    <t xml:space="preserve">indicate that the company prices are </t>
  </si>
  <si>
    <t>lower than competitor prices on average.</t>
  </si>
  <si>
    <t>Column Labels</t>
  </si>
  <si>
    <t>Average of Competitor Pricing</t>
  </si>
  <si>
    <t>Average of Units Sold</t>
  </si>
  <si>
    <t>Average of Demand Forecast</t>
  </si>
  <si>
    <t>Retail Sales &amp; Inventory Insights Dashboard</t>
  </si>
  <si>
    <t>Performance Overview | Category • Region • Pricing • 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</si>
</sst>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0.00000"/>
    <numFmt numFmtId="166" formatCode="[$$-409]#,##0.0000"/>
  </numFmts>
  <fonts count="7" x14ac:knownFonts="1">
    <font>
      <sz val="11"/>
      <color theme="1"/>
      <name val="Calibri"/>
      <family val="2"/>
      <charset val="162"/>
      <scheme val="minor"/>
    </font>
    <font>
      <b/>
      <sz val="11"/>
      <color theme="1"/>
      <name val="Calibri"/>
      <family val="2"/>
      <charset val="162"/>
      <scheme val="minor"/>
    </font>
    <font>
      <sz val="11"/>
      <color rgb="FFC00000"/>
      <name val="Calibri"/>
      <family val="2"/>
      <charset val="162"/>
      <scheme val="minor"/>
    </font>
    <font>
      <b/>
      <sz val="11"/>
      <color rgb="FF002060"/>
      <name val="Calibri"/>
      <family val="2"/>
      <charset val="162"/>
      <scheme val="minor"/>
    </font>
    <font>
      <sz val="11"/>
      <color theme="0"/>
      <name val="Calibri"/>
      <family val="2"/>
      <charset val="162"/>
      <scheme val="minor"/>
    </font>
    <font>
      <sz val="26"/>
      <color theme="1"/>
      <name val="Calibri"/>
      <family val="2"/>
      <charset val="162"/>
      <scheme val="minor"/>
    </font>
    <font>
      <sz val="16"/>
      <color theme="1"/>
      <name val="Calibri"/>
      <family val="2"/>
      <charset val="162"/>
      <scheme val="minor"/>
    </font>
  </fonts>
  <fills count="7">
    <fill>
      <patternFill patternType="none"/>
    </fill>
    <fill>
      <patternFill patternType="gray125"/>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theme="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6">
    <xf numFmtId="0" fontId="0" fillId="0" borderId="0" xfId="0"/>
    <xf numFmtId="0" fontId="1" fillId="2" borderId="1" xfId="0" applyFont="1" applyFill="1" applyBorder="1" applyAlignment="1">
      <alignment horizontal="center"/>
    </xf>
    <xf numFmtId="1" fontId="1" fillId="2" borderId="1" xfId="0" applyNumberFormat="1" applyFont="1" applyFill="1" applyBorder="1" applyAlignment="1">
      <alignment horizontal="center"/>
    </xf>
    <xf numFmtId="164" fontId="1" fillId="2" borderId="1" xfId="0" applyNumberFormat="1" applyFont="1" applyFill="1" applyBorder="1" applyAlignment="1">
      <alignment horizontal="center"/>
    </xf>
    <xf numFmtId="2" fontId="1" fillId="2" borderId="1" xfId="0" applyNumberFormat="1" applyFont="1" applyFill="1" applyBorder="1" applyAlignment="1">
      <alignment horizontal="center"/>
    </xf>
    <xf numFmtId="0" fontId="1" fillId="2" borderId="2" xfId="0" applyFont="1" applyFill="1" applyBorder="1" applyAlignment="1">
      <alignment horizontal="center"/>
    </xf>
    <xf numFmtId="0" fontId="0" fillId="3" borderId="1" xfId="0" applyFill="1" applyBorder="1" applyAlignment="1">
      <alignment horizontal="center"/>
    </xf>
    <xf numFmtId="1" fontId="0" fillId="3" borderId="1" xfId="0" applyNumberFormat="1" applyFill="1" applyBorder="1" applyAlignment="1">
      <alignment horizontal="center"/>
    </xf>
    <xf numFmtId="164" fontId="0" fillId="3" borderId="1" xfId="0" applyNumberFormat="1" applyFill="1" applyBorder="1" applyAlignment="1">
      <alignment horizontal="center"/>
    </xf>
    <xf numFmtId="0" fontId="0" fillId="0" borderId="1" xfId="0" applyBorder="1" applyAlignment="1">
      <alignment horizontal="center"/>
    </xf>
    <xf numFmtId="1" fontId="0" fillId="0" borderId="1" xfId="0" applyNumberFormat="1" applyBorder="1" applyAlignment="1">
      <alignment horizontal="center"/>
    </xf>
    <xf numFmtId="164" fontId="0" fillId="0" borderId="1" xfId="0" applyNumberFormat="1" applyBorder="1" applyAlignment="1">
      <alignment horizontal="center"/>
    </xf>
    <xf numFmtId="0" fontId="0" fillId="4" borderId="0" xfId="0" applyFill="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1" fontId="0" fillId="0" borderId="1" xfId="0" applyNumberFormat="1" applyBorder="1"/>
    <xf numFmtId="164" fontId="0" fillId="0" borderId="1" xfId="0" applyNumberFormat="1" applyBorder="1"/>
    <xf numFmtId="165" fontId="0" fillId="0" borderId="1" xfId="0" applyNumberFormat="1" applyBorder="1"/>
    <xf numFmtId="14" fontId="1" fillId="2" borderId="4" xfId="0" applyNumberFormat="1" applyFont="1" applyFill="1" applyBorder="1" applyAlignment="1">
      <alignment horizontal="center"/>
    </xf>
    <xf numFmtId="14" fontId="0" fillId="3" borderId="4" xfId="0" applyNumberFormat="1" applyFill="1" applyBorder="1" applyAlignment="1">
      <alignment horizontal="center"/>
    </xf>
    <xf numFmtId="14" fontId="0" fillId="0" borderId="4" xfId="0" applyNumberFormat="1" applyBorder="1" applyAlignment="1">
      <alignment horizontal="center"/>
    </xf>
    <xf numFmtId="0" fontId="3" fillId="0" borderId="0" xfId="0" applyFont="1"/>
    <xf numFmtId="0" fontId="0" fillId="2" borderId="0" xfId="0" applyFill="1"/>
    <xf numFmtId="166" fontId="0" fillId="0" borderId="1" xfId="0" applyNumberFormat="1" applyBorder="1"/>
    <xf numFmtId="0" fontId="0" fillId="3" borderId="6" xfId="0" applyFill="1" applyBorder="1" applyAlignment="1">
      <alignment horizontal="center"/>
    </xf>
    <xf numFmtId="0" fontId="0" fillId="0" borderId="6" xfId="0" applyBorder="1" applyAlignment="1">
      <alignment horizontal="center"/>
    </xf>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 fontId="0" fillId="0" borderId="0" xfId="0" applyNumberFormat="1" applyAlignment="1">
      <alignment horizontal="left"/>
    </xf>
    <xf numFmtId="2" fontId="0" fillId="0" borderId="0" xfId="0" applyNumberFormat="1"/>
    <xf numFmtId="4" fontId="0" fillId="0" borderId="0" xfId="0" applyNumberFormat="1"/>
    <xf numFmtId="0" fontId="0" fillId="6" borderId="0" xfId="0" applyFill="1"/>
    <xf numFmtId="14" fontId="0" fillId="0" borderId="0" xfId="0" applyNumberFormat="1" applyAlignment="1">
      <alignment horizontal="left"/>
    </xf>
    <xf numFmtId="1" fontId="4" fillId="0" borderId="0" xfId="0" applyNumberFormat="1" applyFont="1"/>
    <xf numFmtId="2" fontId="4" fillId="0" borderId="0" xfId="0" applyNumberFormat="1" applyFont="1"/>
    <xf numFmtId="164" fontId="4" fillId="0" borderId="0" xfId="0" applyNumberFormat="1" applyFont="1"/>
    <xf numFmtId="0" fontId="5" fillId="6" borderId="0" xfId="0" applyFont="1" applyFill="1" applyAlignment="1">
      <alignment horizontal="center"/>
    </xf>
    <xf numFmtId="0" fontId="6" fillId="6" borderId="0" xfId="0" applyFont="1" applyFill="1" applyAlignment="1">
      <alignment horizontal="left"/>
    </xf>
    <xf numFmtId="0" fontId="0" fillId="4" borderId="0" xfId="0" applyFill="1" applyAlignment="1">
      <alignment horizontal="center"/>
    </xf>
    <xf numFmtId="0" fontId="3" fillId="0" borderId="0" xfId="0" applyFont="1" applyAlignment="1">
      <alignment horizontal="left"/>
    </xf>
    <xf numFmtId="0" fontId="0" fillId="5" borderId="0" xfId="0" applyFill="1" applyAlignment="1">
      <alignment horizontal="center"/>
    </xf>
    <xf numFmtId="0" fontId="0" fillId="4" borderId="3" xfId="0" applyFill="1" applyBorder="1" applyAlignment="1">
      <alignment horizontal="center"/>
    </xf>
    <xf numFmtId="0" fontId="0" fillId="5" borderId="5" xfId="0" applyFill="1" applyBorder="1" applyAlignment="1">
      <alignment horizontal="center"/>
    </xf>
  </cellXfs>
  <cellStyles count="1">
    <cellStyle name="Normal" xfId="0" builtinId="0"/>
  </cellStyles>
  <dxfs count="6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theme="4"/>
        </right>
        <top style="thin">
          <color indexed="64"/>
        </top>
        <bottom style="thin">
          <color indexed="64"/>
        </bottom>
        <vertical/>
        <horizontal/>
      </border>
    </dxf>
    <dxf>
      <numFmt numFmtId="164" formatCode="[$$-409]#,##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409]#,##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409]#,##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mm/yyyy"/>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inventory.xlsx]Pivot Analysis&amp;Charts!PivotTable4</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Analysis&amp;Charts'!$B$6</c:f>
              <c:strCache>
                <c:ptCount val="1"/>
                <c:pt idx="0">
                  <c:v>Total</c:v>
                </c:pt>
              </c:strCache>
            </c:strRef>
          </c:tx>
          <c:spPr>
            <a:solidFill>
              <a:schemeClr val="accent1"/>
            </a:solidFill>
            <a:ln>
              <a:noFill/>
            </a:ln>
            <a:effectLst/>
            <a:sp3d/>
          </c:spPr>
          <c:invertIfNegative val="0"/>
          <c:cat>
            <c:strRef>
              <c:f>'Pivot Analysis&amp;Charts'!$A$7:$A$12</c:f>
              <c:strCache>
                <c:ptCount val="5"/>
                <c:pt idx="0">
                  <c:v>Clothing</c:v>
                </c:pt>
                <c:pt idx="1">
                  <c:v>Electronics</c:v>
                </c:pt>
                <c:pt idx="2">
                  <c:v>Furniture</c:v>
                </c:pt>
                <c:pt idx="3">
                  <c:v>Groceries</c:v>
                </c:pt>
                <c:pt idx="4">
                  <c:v>Toys</c:v>
                </c:pt>
              </c:strCache>
            </c:strRef>
          </c:cat>
          <c:val>
            <c:numRef>
              <c:f>'Pivot Analysis&amp;Charts'!$B$7:$B$12</c:f>
              <c:numCache>
                <c:formatCode>0</c:formatCode>
                <c:ptCount val="5"/>
                <c:pt idx="0">
                  <c:v>12301</c:v>
                </c:pt>
                <c:pt idx="1">
                  <c:v>14787</c:v>
                </c:pt>
                <c:pt idx="2">
                  <c:v>9912</c:v>
                </c:pt>
                <c:pt idx="3">
                  <c:v>14027</c:v>
                </c:pt>
                <c:pt idx="4">
                  <c:v>17209</c:v>
                </c:pt>
              </c:numCache>
            </c:numRef>
          </c:val>
          <c:extLst>
            <c:ext xmlns:c16="http://schemas.microsoft.com/office/drawing/2014/chart" uri="{C3380CC4-5D6E-409C-BE32-E72D297353CC}">
              <c16:uniqueId val="{00000000-F90D-4451-BF65-F1A1DF621D8E}"/>
            </c:ext>
          </c:extLst>
        </c:ser>
        <c:dLbls>
          <c:showLegendKey val="0"/>
          <c:showVal val="0"/>
          <c:showCatName val="0"/>
          <c:showSerName val="0"/>
          <c:showPercent val="0"/>
          <c:showBubbleSize val="0"/>
        </c:dLbls>
        <c:gapWidth val="150"/>
        <c:shape val="box"/>
        <c:axId val="575698304"/>
        <c:axId val="575698664"/>
        <c:axId val="0"/>
      </c:bar3DChart>
      <c:catAx>
        <c:axId val="575698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75698664"/>
        <c:crosses val="autoZero"/>
        <c:auto val="1"/>
        <c:lblAlgn val="ctr"/>
        <c:lblOffset val="100"/>
        <c:noMultiLvlLbl val="0"/>
      </c:catAx>
      <c:valAx>
        <c:axId val="575698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7569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inventory.xlsx]Pivot Analysis&amp;Charts!PivotTable5</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Analysis&amp;Charts'!$B$26</c:f>
              <c:strCache>
                <c:ptCount val="1"/>
                <c:pt idx="0">
                  <c:v>Total</c:v>
                </c:pt>
              </c:strCache>
            </c:strRef>
          </c:tx>
          <c:spPr>
            <a:solidFill>
              <a:schemeClr val="accent1"/>
            </a:solidFill>
            <a:ln>
              <a:noFill/>
            </a:ln>
            <a:effectLst/>
            <a:sp3d/>
          </c:spPr>
          <c:invertIfNegative val="0"/>
          <c:cat>
            <c:strRef>
              <c:f>'Pivot Analysis&amp;Charts'!$A$27:$A$31</c:f>
              <c:strCache>
                <c:ptCount val="4"/>
                <c:pt idx="0">
                  <c:v>East</c:v>
                </c:pt>
                <c:pt idx="1">
                  <c:v>North</c:v>
                </c:pt>
                <c:pt idx="2">
                  <c:v>South</c:v>
                </c:pt>
                <c:pt idx="3">
                  <c:v>West</c:v>
                </c:pt>
              </c:strCache>
            </c:strRef>
          </c:cat>
          <c:val>
            <c:numRef>
              <c:f>'Pivot Analysis&amp;Charts'!$B$27:$B$31</c:f>
              <c:numCache>
                <c:formatCode>0</c:formatCode>
                <c:ptCount val="4"/>
                <c:pt idx="0">
                  <c:v>17145</c:v>
                </c:pt>
                <c:pt idx="1">
                  <c:v>16308</c:v>
                </c:pt>
                <c:pt idx="2">
                  <c:v>14533</c:v>
                </c:pt>
                <c:pt idx="3">
                  <c:v>20250</c:v>
                </c:pt>
              </c:numCache>
            </c:numRef>
          </c:val>
          <c:extLst>
            <c:ext xmlns:c16="http://schemas.microsoft.com/office/drawing/2014/chart" uri="{C3380CC4-5D6E-409C-BE32-E72D297353CC}">
              <c16:uniqueId val="{00000000-BFB4-4E28-B5F5-D1A71D2C4794}"/>
            </c:ext>
          </c:extLst>
        </c:ser>
        <c:dLbls>
          <c:showLegendKey val="0"/>
          <c:showVal val="0"/>
          <c:showCatName val="0"/>
          <c:showSerName val="0"/>
          <c:showPercent val="0"/>
          <c:showBubbleSize val="0"/>
        </c:dLbls>
        <c:gapWidth val="150"/>
        <c:shape val="box"/>
        <c:axId val="579453560"/>
        <c:axId val="579454640"/>
        <c:axId val="0"/>
      </c:bar3DChart>
      <c:catAx>
        <c:axId val="579453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79454640"/>
        <c:crosses val="autoZero"/>
        <c:auto val="1"/>
        <c:lblAlgn val="ctr"/>
        <c:lblOffset val="100"/>
        <c:noMultiLvlLbl val="0"/>
      </c:catAx>
      <c:valAx>
        <c:axId val="579454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579453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inventory.xlsx]Pivot Analysis&amp;Charts!PivotTable6</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Analysis&amp;Charts'!$B$45</c:f>
              <c:strCache>
                <c:ptCount val="1"/>
                <c:pt idx="0">
                  <c:v>Total</c:v>
                </c:pt>
              </c:strCache>
            </c:strRef>
          </c:tx>
          <c:spPr>
            <a:solidFill>
              <a:schemeClr val="accent1"/>
            </a:solidFill>
            <a:ln>
              <a:noFill/>
            </a:ln>
            <a:effectLst/>
            <a:sp3d/>
          </c:spPr>
          <c:invertIfNegative val="0"/>
          <c:cat>
            <c:strRef>
              <c:f>'Pivot Analysis&amp;Charts'!$A$46:$A$50</c:f>
              <c:strCache>
                <c:ptCount val="4"/>
                <c:pt idx="0">
                  <c:v>Autumn</c:v>
                </c:pt>
                <c:pt idx="1">
                  <c:v>Spring</c:v>
                </c:pt>
                <c:pt idx="2">
                  <c:v>Summer</c:v>
                </c:pt>
                <c:pt idx="3">
                  <c:v>Winter</c:v>
                </c:pt>
              </c:strCache>
            </c:strRef>
          </c:cat>
          <c:val>
            <c:numRef>
              <c:f>'Pivot Analysis&amp;Charts'!$B$46:$B$50</c:f>
              <c:numCache>
                <c:formatCode>0</c:formatCode>
                <c:ptCount val="4"/>
                <c:pt idx="0">
                  <c:v>15606</c:v>
                </c:pt>
                <c:pt idx="1">
                  <c:v>18780</c:v>
                </c:pt>
                <c:pt idx="2">
                  <c:v>16342</c:v>
                </c:pt>
                <c:pt idx="3">
                  <c:v>17508</c:v>
                </c:pt>
              </c:numCache>
            </c:numRef>
          </c:val>
          <c:extLst>
            <c:ext xmlns:c16="http://schemas.microsoft.com/office/drawing/2014/chart" uri="{C3380CC4-5D6E-409C-BE32-E72D297353CC}">
              <c16:uniqueId val="{00000000-9C78-4CF9-B287-17EFFFD300CB}"/>
            </c:ext>
          </c:extLst>
        </c:ser>
        <c:dLbls>
          <c:showLegendKey val="0"/>
          <c:showVal val="0"/>
          <c:showCatName val="0"/>
          <c:showSerName val="0"/>
          <c:showPercent val="0"/>
          <c:showBubbleSize val="0"/>
        </c:dLbls>
        <c:gapWidth val="150"/>
        <c:shape val="box"/>
        <c:axId val="840612648"/>
        <c:axId val="840613728"/>
        <c:axId val="0"/>
      </c:bar3DChart>
      <c:catAx>
        <c:axId val="840612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840613728"/>
        <c:crosses val="autoZero"/>
        <c:auto val="1"/>
        <c:lblAlgn val="ctr"/>
        <c:lblOffset val="100"/>
        <c:noMultiLvlLbl val="0"/>
      </c:catAx>
      <c:valAx>
        <c:axId val="840613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840612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inventory.xlsx]Pivot Analysis&amp;Charts!PivotTable8</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Analysis&amp;Charts'!$N$6</c:f>
              <c:strCache>
                <c:ptCount val="1"/>
                <c:pt idx="0">
                  <c:v>Total</c:v>
                </c:pt>
              </c:strCache>
            </c:strRef>
          </c:tx>
          <c:spPr>
            <a:solidFill>
              <a:schemeClr val="accent1"/>
            </a:solidFill>
            <a:ln>
              <a:noFill/>
            </a:ln>
            <a:effectLst/>
            <a:sp3d/>
          </c:spPr>
          <c:invertIfNegative val="0"/>
          <c:cat>
            <c:strRef>
              <c:f>'Pivot Analysis&amp;Charts'!$M$7:$M$12</c:f>
              <c:strCache>
                <c:ptCount val="5"/>
                <c:pt idx="0">
                  <c:v>Clothing</c:v>
                </c:pt>
                <c:pt idx="1">
                  <c:v>Electronics</c:v>
                </c:pt>
                <c:pt idx="2">
                  <c:v>Furniture</c:v>
                </c:pt>
                <c:pt idx="3">
                  <c:v>Groceries</c:v>
                </c:pt>
                <c:pt idx="4">
                  <c:v>Toys</c:v>
                </c:pt>
              </c:strCache>
            </c:strRef>
          </c:cat>
          <c:val>
            <c:numRef>
              <c:f>'Pivot Analysis&amp;Charts'!$N$7:$N$12</c:f>
              <c:numCache>
                <c:formatCode>[$$-409]#,##0.00</c:formatCode>
                <c:ptCount val="5"/>
                <c:pt idx="0">
                  <c:v>60.46954545454544</c:v>
                </c:pt>
                <c:pt idx="1">
                  <c:v>56.277999999999999</c:v>
                </c:pt>
                <c:pt idx="2">
                  <c:v>58.47094594594595</c:v>
                </c:pt>
                <c:pt idx="3">
                  <c:v>54.771441441441453</c:v>
                </c:pt>
                <c:pt idx="4">
                  <c:v>55.379672131147551</c:v>
                </c:pt>
              </c:numCache>
            </c:numRef>
          </c:val>
          <c:extLst>
            <c:ext xmlns:c16="http://schemas.microsoft.com/office/drawing/2014/chart" uri="{C3380CC4-5D6E-409C-BE32-E72D297353CC}">
              <c16:uniqueId val="{00000000-C499-43EB-871D-A2FC790AC10D}"/>
            </c:ext>
          </c:extLst>
        </c:ser>
        <c:dLbls>
          <c:showLegendKey val="0"/>
          <c:showVal val="0"/>
          <c:showCatName val="0"/>
          <c:showSerName val="0"/>
          <c:showPercent val="0"/>
          <c:showBubbleSize val="0"/>
        </c:dLbls>
        <c:gapWidth val="150"/>
        <c:shape val="box"/>
        <c:axId val="749915744"/>
        <c:axId val="749915024"/>
        <c:axId val="0"/>
      </c:bar3DChart>
      <c:catAx>
        <c:axId val="749915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49915024"/>
        <c:crosses val="autoZero"/>
        <c:auto val="1"/>
        <c:lblAlgn val="ctr"/>
        <c:lblOffset val="100"/>
        <c:noMultiLvlLbl val="0"/>
      </c:catAx>
      <c:valAx>
        <c:axId val="74991502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4991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inventory.xlsx]Pivot Analysis&amp;Charts!PivotTable1</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Analysis&amp;Charts'!$N$26</c:f>
              <c:strCache>
                <c:ptCount val="1"/>
                <c:pt idx="0">
                  <c:v>Total</c:v>
                </c:pt>
              </c:strCache>
            </c:strRef>
          </c:tx>
          <c:spPr>
            <a:solidFill>
              <a:schemeClr val="accent1"/>
            </a:solidFill>
            <a:ln>
              <a:noFill/>
            </a:ln>
            <a:effectLst/>
            <a:sp3d/>
          </c:spPr>
          <c:invertIfNegative val="0"/>
          <c:cat>
            <c:strRef>
              <c:f>'Pivot Analysis&amp;Charts'!$M$27:$M$32</c:f>
              <c:strCache>
                <c:ptCount val="5"/>
                <c:pt idx="0">
                  <c:v>Clothing</c:v>
                </c:pt>
                <c:pt idx="1">
                  <c:v>Electronics</c:v>
                </c:pt>
                <c:pt idx="2">
                  <c:v>Furniture</c:v>
                </c:pt>
                <c:pt idx="3">
                  <c:v>Groceries</c:v>
                </c:pt>
                <c:pt idx="4">
                  <c:v>Toys</c:v>
                </c:pt>
              </c:strCache>
            </c:strRef>
          </c:cat>
          <c:val>
            <c:numRef>
              <c:f>'Pivot Analysis&amp;Charts'!$N$27:$N$32</c:f>
              <c:numCache>
                <c:formatCode>0.00000</c:formatCode>
                <c:ptCount val="5"/>
                <c:pt idx="0">
                  <c:v>0.52275735941116797</c:v>
                </c:pt>
                <c:pt idx="1">
                  <c:v>0.4974988102914209</c:v>
                </c:pt>
                <c:pt idx="2">
                  <c:v>0.46464856371405872</c:v>
                </c:pt>
                <c:pt idx="3">
                  <c:v>0.45682799774826194</c:v>
                </c:pt>
                <c:pt idx="4">
                  <c:v>0.50462326966251714</c:v>
                </c:pt>
              </c:numCache>
            </c:numRef>
          </c:val>
          <c:extLst>
            <c:ext xmlns:c16="http://schemas.microsoft.com/office/drawing/2014/chart" uri="{C3380CC4-5D6E-409C-BE32-E72D297353CC}">
              <c16:uniqueId val="{00000000-F098-47B1-A64C-B9E46AAB761D}"/>
            </c:ext>
          </c:extLst>
        </c:ser>
        <c:dLbls>
          <c:showLegendKey val="0"/>
          <c:showVal val="0"/>
          <c:showCatName val="0"/>
          <c:showSerName val="0"/>
          <c:showPercent val="0"/>
          <c:showBubbleSize val="0"/>
        </c:dLbls>
        <c:gapWidth val="150"/>
        <c:shape val="box"/>
        <c:axId val="719139144"/>
        <c:axId val="719139504"/>
        <c:axId val="0"/>
      </c:bar3DChart>
      <c:catAx>
        <c:axId val="719139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19139504"/>
        <c:crosses val="autoZero"/>
        <c:auto val="1"/>
        <c:lblAlgn val="ctr"/>
        <c:lblOffset val="100"/>
        <c:noMultiLvlLbl val="0"/>
      </c:catAx>
      <c:valAx>
        <c:axId val="719139504"/>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19139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inventory.xlsx]Pivot Analysis&amp;Charts!PivotTable9</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Analysis&amp;Charts'!$N$44</c:f>
              <c:strCache>
                <c:ptCount val="1"/>
                <c:pt idx="0">
                  <c:v>Total</c:v>
                </c:pt>
              </c:strCache>
            </c:strRef>
          </c:tx>
          <c:spPr>
            <a:solidFill>
              <a:schemeClr val="accent1"/>
            </a:solidFill>
            <a:ln>
              <a:noFill/>
            </a:ln>
            <a:effectLst/>
            <a:sp3d/>
          </c:spPr>
          <c:invertIfNegative val="0"/>
          <c:cat>
            <c:strRef>
              <c:f>'Pivot Analysis&amp;Charts'!$M$45:$M$50</c:f>
              <c:strCache>
                <c:ptCount val="5"/>
                <c:pt idx="0">
                  <c:v>Clothing</c:v>
                </c:pt>
                <c:pt idx="1">
                  <c:v>Electronics</c:v>
                </c:pt>
                <c:pt idx="2">
                  <c:v>Furniture</c:v>
                </c:pt>
                <c:pt idx="3">
                  <c:v>Groceries</c:v>
                </c:pt>
                <c:pt idx="4">
                  <c:v>Toys</c:v>
                </c:pt>
              </c:strCache>
            </c:strRef>
          </c:cat>
          <c:val>
            <c:numRef>
              <c:f>'Pivot Analysis&amp;Charts'!$N$45:$N$50</c:f>
              <c:numCache>
                <c:formatCode>[$$-409]#,##0.0000</c:formatCode>
                <c:ptCount val="5"/>
                <c:pt idx="0">
                  <c:v>-0.53977272727272796</c:v>
                </c:pt>
                <c:pt idx="1">
                  <c:v>0.2319047619047615</c:v>
                </c:pt>
                <c:pt idx="2">
                  <c:v>-0.1749999999999996</c:v>
                </c:pt>
                <c:pt idx="3">
                  <c:v>-0.11693693693693646</c:v>
                </c:pt>
                <c:pt idx="4">
                  <c:v>0.2168852459016393</c:v>
                </c:pt>
              </c:numCache>
            </c:numRef>
          </c:val>
          <c:extLst>
            <c:ext xmlns:c16="http://schemas.microsoft.com/office/drawing/2014/chart" uri="{C3380CC4-5D6E-409C-BE32-E72D297353CC}">
              <c16:uniqueId val="{00000000-6E92-441C-937C-BE9529E89983}"/>
            </c:ext>
          </c:extLst>
        </c:ser>
        <c:dLbls>
          <c:showLegendKey val="0"/>
          <c:showVal val="0"/>
          <c:showCatName val="0"/>
          <c:showSerName val="0"/>
          <c:showPercent val="0"/>
          <c:showBubbleSize val="0"/>
        </c:dLbls>
        <c:gapWidth val="150"/>
        <c:shape val="box"/>
        <c:axId val="710287848"/>
        <c:axId val="710290368"/>
        <c:axId val="0"/>
      </c:bar3DChart>
      <c:catAx>
        <c:axId val="710287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tr-TR"/>
          </a:p>
        </c:txPr>
        <c:crossAx val="710290368"/>
        <c:crosses val="autoZero"/>
        <c:auto val="1"/>
        <c:lblAlgn val="ctr"/>
        <c:lblOffset val="100"/>
        <c:noMultiLvlLbl val="0"/>
      </c:catAx>
      <c:valAx>
        <c:axId val="710290368"/>
        <c:scaling>
          <c:orientation val="minMax"/>
        </c:scaling>
        <c:delete val="0"/>
        <c:axPos val="l"/>
        <c:majorGridlines>
          <c:spPr>
            <a:ln w="9525" cap="flat" cmpd="sng" algn="ctr">
              <a:solidFill>
                <a:schemeClr val="tx1">
                  <a:lumMod val="15000"/>
                  <a:lumOff val="85000"/>
                </a:schemeClr>
              </a:solidFill>
              <a:round/>
            </a:ln>
            <a:effectLst/>
          </c:spPr>
        </c:majorGridlines>
        <c:numFmt formatCode="[$$-409]#,##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10287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inventory.xlsx]Sheet3!PivotTable11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tr-TR"/>
              <a:t>Pricing Competitiveness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r-T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Sheet3!$C$20</c:f>
              <c:strCache>
                <c:ptCount val="1"/>
                <c:pt idx="0">
                  <c:v>Average of Price</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Sheet3!$B$21:$B$26</c:f>
              <c:strCache>
                <c:ptCount val="5"/>
                <c:pt idx="0">
                  <c:v>Clothing</c:v>
                </c:pt>
                <c:pt idx="1">
                  <c:v>Electronics</c:v>
                </c:pt>
                <c:pt idx="2">
                  <c:v>Furniture</c:v>
                </c:pt>
                <c:pt idx="3">
                  <c:v>Groceries</c:v>
                </c:pt>
                <c:pt idx="4">
                  <c:v>Toys</c:v>
                </c:pt>
              </c:strCache>
            </c:strRef>
          </c:cat>
          <c:val>
            <c:numRef>
              <c:f>Sheet3!$C$21:$C$26</c:f>
              <c:numCache>
                <c:formatCode>[$$-409]#,##0.00</c:formatCode>
                <c:ptCount val="5"/>
                <c:pt idx="0">
                  <c:v>60.46954545454544</c:v>
                </c:pt>
                <c:pt idx="1">
                  <c:v>56.277999999999999</c:v>
                </c:pt>
                <c:pt idx="2">
                  <c:v>58.47094594594595</c:v>
                </c:pt>
                <c:pt idx="3">
                  <c:v>54.771441441441453</c:v>
                </c:pt>
                <c:pt idx="4">
                  <c:v>55.379672131147551</c:v>
                </c:pt>
              </c:numCache>
            </c:numRef>
          </c:val>
          <c:extLst>
            <c:ext xmlns:c16="http://schemas.microsoft.com/office/drawing/2014/chart" uri="{C3380CC4-5D6E-409C-BE32-E72D297353CC}">
              <c16:uniqueId val="{00000000-8EC8-45CF-9C74-71BE760919CC}"/>
            </c:ext>
          </c:extLst>
        </c:ser>
        <c:ser>
          <c:idx val="1"/>
          <c:order val="1"/>
          <c:tx>
            <c:strRef>
              <c:f>Sheet3!$D$20</c:f>
              <c:strCache>
                <c:ptCount val="1"/>
                <c:pt idx="0">
                  <c:v>Average of Competitor Pricing</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Sheet3!$B$21:$B$26</c:f>
              <c:strCache>
                <c:ptCount val="5"/>
                <c:pt idx="0">
                  <c:v>Clothing</c:v>
                </c:pt>
                <c:pt idx="1">
                  <c:v>Electronics</c:v>
                </c:pt>
                <c:pt idx="2">
                  <c:v>Furniture</c:v>
                </c:pt>
                <c:pt idx="3">
                  <c:v>Groceries</c:v>
                </c:pt>
                <c:pt idx="4">
                  <c:v>Toys</c:v>
                </c:pt>
              </c:strCache>
            </c:strRef>
          </c:cat>
          <c:val>
            <c:numRef>
              <c:f>Sheet3!$D$21:$D$26</c:f>
              <c:numCache>
                <c:formatCode>[$$-409]#,##0.00</c:formatCode>
                <c:ptCount val="5"/>
                <c:pt idx="0">
                  <c:v>61.009318181818166</c:v>
                </c:pt>
                <c:pt idx="1">
                  <c:v>56.046095238095276</c:v>
                </c:pt>
                <c:pt idx="2">
                  <c:v>58.64594594594594</c:v>
                </c:pt>
                <c:pt idx="3">
                  <c:v>54.888378378378391</c:v>
                </c:pt>
                <c:pt idx="4">
                  <c:v>55.162786885245914</c:v>
                </c:pt>
              </c:numCache>
            </c:numRef>
          </c:val>
          <c:extLst>
            <c:ext xmlns:c16="http://schemas.microsoft.com/office/drawing/2014/chart" uri="{C3380CC4-5D6E-409C-BE32-E72D297353CC}">
              <c16:uniqueId val="{00000001-8EC8-45CF-9C74-71BE760919CC}"/>
            </c:ext>
          </c:extLst>
        </c:ser>
        <c:dLbls>
          <c:showLegendKey val="0"/>
          <c:showVal val="0"/>
          <c:showCatName val="0"/>
          <c:showSerName val="0"/>
          <c:showPercent val="0"/>
          <c:showBubbleSize val="0"/>
        </c:dLbls>
        <c:gapWidth val="65"/>
        <c:shape val="box"/>
        <c:axId val="643469024"/>
        <c:axId val="643470104"/>
        <c:axId val="0"/>
      </c:bar3DChart>
      <c:catAx>
        <c:axId val="6434690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r-TR"/>
          </a:p>
        </c:txPr>
        <c:crossAx val="643470104"/>
        <c:crosses val="autoZero"/>
        <c:auto val="1"/>
        <c:lblAlgn val="ctr"/>
        <c:lblOffset val="100"/>
        <c:noMultiLvlLbl val="0"/>
      </c:catAx>
      <c:valAx>
        <c:axId val="643470104"/>
        <c:scaling>
          <c:orientation val="minMax"/>
        </c:scaling>
        <c:delete val="0"/>
        <c:axPos val="l"/>
        <c:majorGridlines>
          <c:spPr>
            <a:ln w="9525" cap="flat" cmpd="sng" algn="ctr">
              <a:solidFill>
                <a:schemeClr val="dk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r-TR"/>
          </a:p>
        </c:txPr>
        <c:crossAx val="6434690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inventory.xlsx]Sheet3!PivotTable1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tr-TR"/>
              <a:t>Sales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tr-TR"/>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a:sp3d/>
        </c:spPr>
        <c:dLbl>
          <c:idx val="0"/>
          <c:layout>
            <c:manualLayout>
              <c:x val="-0.12693000874890645"/>
              <c:y val="0.1176192038495187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tr-TR"/>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a:sp3d/>
        </c:spPr>
        <c:dLbl>
          <c:idx val="0"/>
          <c:layout>
            <c:manualLayout>
              <c:x val="-0.13577515310586177"/>
              <c:y val="-0.1769677748614756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tr-TR"/>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outerShdw blurRad="254000" sx="102000" sy="102000" algn="ctr" rotWithShape="0">
              <a:prstClr val="black">
                <a:alpha val="20000"/>
              </a:prstClr>
            </a:outerShdw>
          </a:effectLst>
          <a:sp3d/>
        </c:spPr>
        <c:dLbl>
          <c:idx val="0"/>
          <c:layout>
            <c:manualLayout>
              <c:x val="0.11321303587051619"/>
              <c:y val="-0.2010998104403616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tr-TR"/>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254000" sx="102000" sy="102000" algn="ctr" rotWithShape="0">
              <a:prstClr val="black">
                <a:alpha val="20000"/>
              </a:prstClr>
            </a:outerShdw>
          </a:effectLst>
          <a:sp3d/>
        </c:spPr>
        <c:dLbl>
          <c:idx val="0"/>
          <c:layout>
            <c:manualLayout>
              <c:x val="0.16841119860017498"/>
              <c:y val="2.230971128608923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tr-TR"/>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254000" sx="102000" sy="102000" algn="ctr" rotWithShape="0">
              <a:prstClr val="black">
                <a:alpha val="20000"/>
              </a:prstClr>
            </a:outerShdw>
          </a:effectLst>
          <a:sp3d/>
        </c:spPr>
        <c:dLbl>
          <c:idx val="0"/>
          <c:layout>
            <c:manualLayout>
              <c:x val="9.2365048118985132E-2"/>
              <c:y val="9.615412656751239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tr-TR"/>
            </a:p>
          </c:txPr>
          <c:dLblPos val="bestFit"/>
          <c:showLegendKey val="0"/>
          <c:showVal val="1"/>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Sheet3!$C$64</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787-49DF-A8D2-A9543AC43F55}"/>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E787-49DF-A8D2-A9543AC43F55}"/>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787-49DF-A8D2-A9543AC43F55}"/>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E787-49DF-A8D2-A9543AC43F55}"/>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787-49DF-A8D2-A9543AC43F55}"/>
              </c:ext>
            </c:extLst>
          </c:dPt>
          <c:dLbls>
            <c:dLbl>
              <c:idx val="0"/>
              <c:layout>
                <c:manualLayout>
                  <c:x val="-0.12693000874890645"/>
                  <c:y val="0.1176192038495187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787-49DF-A8D2-A9543AC43F55}"/>
                </c:ext>
              </c:extLst>
            </c:dLbl>
            <c:dLbl>
              <c:idx val="1"/>
              <c:layout>
                <c:manualLayout>
                  <c:x val="-0.13577515310586177"/>
                  <c:y val="-0.17696777486147564"/>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787-49DF-A8D2-A9543AC43F55}"/>
                </c:ext>
              </c:extLst>
            </c:dLbl>
            <c:dLbl>
              <c:idx val="2"/>
              <c:layout>
                <c:manualLayout>
                  <c:x val="0.11321303587051619"/>
                  <c:y val="-0.2010998104403616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787-49DF-A8D2-A9543AC43F55}"/>
                </c:ext>
              </c:extLst>
            </c:dLbl>
            <c:dLbl>
              <c:idx val="3"/>
              <c:layout>
                <c:manualLayout>
                  <c:x val="0.16841119860017498"/>
                  <c:y val="2.2309711286089239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787-49DF-A8D2-A9543AC43F55}"/>
                </c:ext>
              </c:extLst>
            </c:dLbl>
            <c:dLbl>
              <c:idx val="4"/>
              <c:layout>
                <c:manualLayout>
                  <c:x val="9.2365048118985132E-2"/>
                  <c:y val="9.6154126567512391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787-49DF-A8D2-A9543AC43F5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tr-TR"/>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Sheet3!$B$65:$B$70</c:f>
              <c:strCache>
                <c:ptCount val="5"/>
                <c:pt idx="0">
                  <c:v>Toys</c:v>
                </c:pt>
                <c:pt idx="1">
                  <c:v>Electronics</c:v>
                </c:pt>
                <c:pt idx="2">
                  <c:v>Groceries</c:v>
                </c:pt>
                <c:pt idx="3">
                  <c:v>Clothing</c:v>
                </c:pt>
                <c:pt idx="4">
                  <c:v>Furniture</c:v>
                </c:pt>
              </c:strCache>
            </c:strRef>
          </c:cat>
          <c:val>
            <c:numRef>
              <c:f>Sheet3!$C$65:$C$70</c:f>
              <c:numCache>
                <c:formatCode>0</c:formatCode>
                <c:ptCount val="5"/>
                <c:pt idx="0">
                  <c:v>17209</c:v>
                </c:pt>
                <c:pt idx="1">
                  <c:v>14787</c:v>
                </c:pt>
                <c:pt idx="2">
                  <c:v>14027</c:v>
                </c:pt>
                <c:pt idx="3">
                  <c:v>12301</c:v>
                </c:pt>
                <c:pt idx="4">
                  <c:v>9912</c:v>
                </c:pt>
              </c:numCache>
            </c:numRef>
          </c:val>
          <c:extLst>
            <c:ext xmlns:c16="http://schemas.microsoft.com/office/drawing/2014/chart" uri="{C3380CC4-5D6E-409C-BE32-E72D297353CC}">
              <c16:uniqueId val="{00000000-E787-49DF-A8D2-A9543AC43F5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inventory.xlsx]Sheet3!PivotTable2</c:name>
    <c:fmtId val="4"/>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tr-TR" sz="1800" b="1" i="0" u="none" strike="noStrike" baseline="0"/>
              <a:t>Regional Sales Distribution</a:t>
            </a:r>
            <a:endParaRPr lang="en-US"/>
          </a:p>
        </c:rich>
      </c:tx>
      <c:layout>
        <c:manualLayout>
          <c:xMode val="edge"/>
          <c:yMode val="edge"/>
          <c:x val="0.23252077865266846"/>
          <c:y val="0.11934966462525518"/>
        </c:manualLayout>
      </c:layout>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Sheet3!$E$64</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Sheet3!$D$65:$D$69</c:f>
              <c:strCache>
                <c:ptCount val="4"/>
                <c:pt idx="0">
                  <c:v>South</c:v>
                </c:pt>
                <c:pt idx="1">
                  <c:v>North</c:v>
                </c:pt>
                <c:pt idx="2">
                  <c:v>East</c:v>
                </c:pt>
                <c:pt idx="3">
                  <c:v>West</c:v>
                </c:pt>
              </c:strCache>
            </c:strRef>
          </c:cat>
          <c:val>
            <c:numRef>
              <c:f>Sheet3!$E$65:$E$69</c:f>
              <c:numCache>
                <c:formatCode>0</c:formatCode>
                <c:ptCount val="4"/>
                <c:pt idx="0">
                  <c:v>14533</c:v>
                </c:pt>
                <c:pt idx="1">
                  <c:v>16308</c:v>
                </c:pt>
                <c:pt idx="2">
                  <c:v>17145</c:v>
                </c:pt>
                <c:pt idx="3">
                  <c:v>20250</c:v>
                </c:pt>
              </c:numCache>
            </c:numRef>
          </c:val>
          <c:extLst>
            <c:ext xmlns:c16="http://schemas.microsoft.com/office/drawing/2014/chart" uri="{C3380CC4-5D6E-409C-BE32-E72D297353CC}">
              <c16:uniqueId val="{00000000-8C2D-4DEE-A0DF-67822252CCD8}"/>
            </c:ext>
          </c:extLst>
        </c:ser>
        <c:dLbls>
          <c:showLegendKey val="0"/>
          <c:showVal val="1"/>
          <c:showCatName val="0"/>
          <c:showSerName val="0"/>
          <c:showPercent val="0"/>
          <c:showBubbleSize val="0"/>
        </c:dLbls>
        <c:gapWidth val="65"/>
        <c:shape val="box"/>
        <c:axId val="710745200"/>
        <c:axId val="710747720"/>
        <c:axId val="0"/>
      </c:bar3DChart>
      <c:catAx>
        <c:axId val="7107452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tr-TR"/>
          </a:p>
        </c:txPr>
        <c:crossAx val="710747720"/>
        <c:crosses val="autoZero"/>
        <c:auto val="1"/>
        <c:lblAlgn val="ctr"/>
        <c:lblOffset val="100"/>
        <c:noMultiLvlLbl val="0"/>
      </c:catAx>
      <c:valAx>
        <c:axId val="710747720"/>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r-TR"/>
          </a:p>
        </c:txPr>
        <c:crossAx val="71074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[retail store inventory.xlsx]Sheet3!PivotTable3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tr-TR" sz="1800" b="1" i="0" u="none" strike="noStrike" baseline="0"/>
              <a:t>Inventory Efficiency by Category</a:t>
            </a:r>
            <a:endParaRPr lang="en-US"/>
          </a:p>
        </c:rich>
      </c:tx>
      <c:layout>
        <c:manualLayout>
          <c:xMode val="edge"/>
          <c:yMode val="edge"/>
          <c:x val="0.16027777777777777"/>
          <c:y val="0.1286089238845144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Sheet3!$L$60</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Sheet3!$K$61:$K$66</c:f>
              <c:strCache>
                <c:ptCount val="5"/>
                <c:pt idx="0">
                  <c:v>Groceries</c:v>
                </c:pt>
                <c:pt idx="1">
                  <c:v>Furniture</c:v>
                </c:pt>
                <c:pt idx="2">
                  <c:v>Electronics</c:v>
                </c:pt>
                <c:pt idx="3">
                  <c:v>Toys</c:v>
                </c:pt>
                <c:pt idx="4">
                  <c:v>Clothing</c:v>
                </c:pt>
              </c:strCache>
            </c:strRef>
          </c:cat>
          <c:val>
            <c:numRef>
              <c:f>Sheet3!$L$61:$L$66</c:f>
              <c:numCache>
                <c:formatCode>General</c:formatCode>
                <c:ptCount val="5"/>
                <c:pt idx="0">
                  <c:v>0.45682799774826194</c:v>
                </c:pt>
                <c:pt idx="1">
                  <c:v>0.46464856371405872</c:v>
                </c:pt>
                <c:pt idx="2">
                  <c:v>0.4974988102914209</c:v>
                </c:pt>
                <c:pt idx="3">
                  <c:v>0.50462326966251714</c:v>
                </c:pt>
                <c:pt idx="4">
                  <c:v>0.52275735941116797</c:v>
                </c:pt>
              </c:numCache>
            </c:numRef>
          </c:val>
          <c:extLst>
            <c:ext xmlns:c16="http://schemas.microsoft.com/office/drawing/2014/chart" uri="{C3380CC4-5D6E-409C-BE32-E72D297353CC}">
              <c16:uniqueId val="{00000000-028A-488F-9DFD-EE32BD071238}"/>
            </c:ext>
          </c:extLst>
        </c:ser>
        <c:dLbls>
          <c:showLegendKey val="0"/>
          <c:showVal val="1"/>
          <c:showCatName val="0"/>
          <c:showSerName val="0"/>
          <c:showPercent val="0"/>
          <c:showBubbleSize val="0"/>
        </c:dLbls>
        <c:gapWidth val="65"/>
        <c:shape val="box"/>
        <c:axId val="792277096"/>
        <c:axId val="792280696"/>
        <c:axId val="0"/>
      </c:bar3DChart>
      <c:catAx>
        <c:axId val="7922770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tr-TR"/>
          </a:p>
        </c:txPr>
        <c:crossAx val="792280696"/>
        <c:crosses val="autoZero"/>
        <c:auto val="1"/>
        <c:lblAlgn val="ctr"/>
        <c:lblOffset val="100"/>
        <c:noMultiLvlLbl val="0"/>
      </c:catAx>
      <c:valAx>
        <c:axId val="7922806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r-TR"/>
          </a:p>
        </c:txPr>
        <c:crossAx val="79227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7620</xdr:colOff>
      <xdr:row>2</xdr:row>
      <xdr:rowOff>0</xdr:rowOff>
    </xdr:from>
    <xdr:to>
      <xdr:col>10</xdr:col>
      <xdr:colOff>7620</xdr:colOff>
      <xdr:row>17</xdr:row>
      <xdr:rowOff>0</xdr:rowOff>
    </xdr:to>
    <xdr:graphicFrame macro="">
      <xdr:nvGraphicFramePr>
        <xdr:cNvPr id="2" name="Chart 1">
          <a:extLst>
            <a:ext uri="{FF2B5EF4-FFF2-40B4-BE49-F238E27FC236}">
              <a16:creationId xmlns:a16="http://schemas.microsoft.com/office/drawing/2014/main" id="{DB111E3D-15DA-ED40-625E-FC64CA6A2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22</xdr:row>
      <xdr:rowOff>0</xdr:rowOff>
    </xdr:from>
    <xdr:to>
      <xdr:col>10</xdr:col>
      <xdr:colOff>7620</xdr:colOff>
      <xdr:row>37</xdr:row>
      <xdr:rowOff>30480</xdr:rowOff>
    </xdr:to>
    <xdr:graphicFrame macro="">
      <xdr:nvGraphicFramePr>
        <xdr:cNvPr id="3" name="Chart 2">
          <a:extLst>
            <a:ext uri="{FF2B5EF4-FFF2-40B4-BE49-F238E27FC236}">
              <a16:creationId xmlns:a16="http://schemas.microsoft.com/office/drawing/2014/main" id="{A6138B36-7EAA-29EE-239F-92DC82DBE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40</xdr:row>
      <xdr:rowOff>175260</xdr:rowOff>
    </xdr:from>
    <xdr:to>
      <xdr:col>10</xdr:col>
      <xdr:colOff>0</xdr:colOff>
      <xdr:row>55</xdr:row>
      <xdr:rowOff>175260</xdr:rowOff>
    </xdr:to>
    <xdr:graphicFrame macro="">
      <xdr:nvGraphicFramePr>
        <xdr:cNvPr id="4" name="Chart 3">
          <a:extLst>
            <a:ext uri="{FF2B5EF4-FFF2-40B4-BE49-F238E27FC236}">
              <a16:creationId xmlns:a16="http://schemas.microsoft.com/office/drawing/2014/main" id="{DE95389B-464D-33A8-8562-A2838E1C0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xdr:row>
      <xdr:rowOff>0</xdr:rowOff>
    </xdr:from>
    <xdr:to>
      <xdr:col>22</xdr:col>
      <xdr:colOff>15240</xdr:colOff>
      <xdr:row>17</xdr:row>
      <xdr:rowOff>0</xdr:rowOff>
    </xdr:to>
    <xdr:graphicFrame macro="">
      <xdr:nvGraphicFramePr>
        <xdr:cNvPr id="5" name="Chart 4">
          <a:extLst>
            <a:ext uri="{FF2B5EF4-FFF2-40B4-BE49-F238E27FC236}">
              <a16:creationId xmlns:a16="http://schemas.microsoft.com/office/drawing/2014/main" id="{7701DD74-4F72-8291-E92D-90E9DD70C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601980</xdr:colOff>
      <xdr:row>22</xdr:row>
      <xdr:rowOff>0</xdr:rowOff>
    </xdr:from>
    <xdr:to>
      <xdr:col>22</xdr:col>
      <xdr:colOff>15240</xdr:colOff>
      <xdr:row>37</xdr:row>
      <xdr:rowOff>0</xdr:rowOff>
    </xdr:to>
    <xdr:graphicFrame macro="">
      <xdr:nvGraphicFramePr>
        <xdr:cNvPr id="9" name="Chart 8">
          <a:extLst>
            <a:ext uri="{FF2B5EF4-FFF2-40B4-BE49-F238E27FC236}">
              <a16:creationId xmlns:a16="http://schemas.microsoft.com/office/drawing/2014/main" id="{7BEC19FB-5FE9-C91D-2921-91F996545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7620</xdr:colOff>
      <xdr:row>41</xdr:row>
      <xdr:rowOff>0</xdr:rowOff>
    </xdr:from>
    <xdr:to>
      <xdr:col>22</xdr:col>
      <xdr:colOff>15240</xdr:colOff>
      <xdr:row>56</xdr:row>
      <xdr:rowOff>0</xdr:rowOff>
    </xdr:to>
    <xdr:graphicFrame macro="">
      <xdr:nvGraphicFramePr>
        <xdr:cNvPr id="10" name="Chart 9">
          <a:extLst>
            <a:ext uri="{FF2B5EF4-FFF2-40B4-BE49-F238E27FC236}">
              <a16:creationId xmlns:a16="http://schemas.microsoft.com/office/drawing/2014/main" id="{0B864690-FC87-F9B3-14D1-F40800380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309683</xdr:colOff>
      <xdr:row>10</xdr:row>
      <xdr:rowOff>151750</xdr:rowOff>
    </xdr:from>
    <xdr:to>
      <xdr:col>23</xdr:col>
      <xdr:colOff>22064</xdr:colOff>
      <xdr:row>30</xdr:row>
      <xdr:rowOff>123179</xdr:rowOff>
    </xdr:to>
    <xdr:graphicFrame macro="">
      <xdr:nvGraphicFramePr>
        <xdr:cNvPr id="3" name="Chart 3">
          <a:extLst>
            <a:ext uri="{FF2B5EF4-FFF2-40B4-BE49-F238E27FC236}">
              <a16:creationId xmlns:a16="http://schemas.microsoft.com/office/drawing/2014/main" id="{52FF6DC5-DE2D-E4D4-5469-D5142E439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424642</xdr:colOff>
      <xdr:row>10</xdr:row>
      <xdr:rowOff>146685</xdr:rowOff>
    </xdr:from>
    <xdr:to>
      <xdr:col>13</xdr:col>
      <xdr:colOff>137936</xdr:colOff>
      <xdr:row>30</xdr:row>
      <xdr:rowOff>118114</xdr:rowOff>
    </xdr:to>
    <xdr:graphicFrame macro="">
      <xdr:nvGraphicFramePr>
        <xdr:cNvPr id="17" name="Chart 1">
          <a:extLst>
            <a:ext uri="{FF2B5EF4-FFF2-40B4-BE49-F238E27FC236}">
              <a16:creationId xmlns:a16="http://schemas.microsoft.com/office/drawing/2014/main" id="{AD89DC04-CD59-7784-5263-508CD43C5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442181</xdr:colOff>
      <xdr:row>31</xdr:row>
      <xdr:rowOff>7530</xdr:rowOff>
    </xdr:from>
    <xdr:to>
      <xdr:col>13</xdr:col>
      <xdr:colOff>155475</xdr:colOff>
      <xdr:row>50</xdr:row>
      <xdr:rowOff>165865</xdr:rowOff>
    </xdr:to>
    <xdr:graphicFrame macro="">
      <xdr:nvGraphicFramePr>
        <xdr:cNvPr id="18" name="Chart 2">
          <a:extLst>
            <a:ext uri="{FF2B5EF4-FFF2-40B4-BE49-F238E27FC236}">
              <a16:creationId xmlns:a16="http://schemas.microsoft.com/office/drawing/2014/main" id="{1ABE8DC8-9F19-3998-950D-FFE60E415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321897</xdr:colOff>
      <xdr:row>31</xdr:row>
      <xdr:rowOff>22771</xdr:rowOff>
    </xdr:from>
    <xdr:to>
      <xdr:col>23</xdr:col>
      <xdr:colOff>34278</xdr:colOff>
      <xdr:row>50</xdr:row>
      <xdr:rowOff>181106</xdr:rowOff>
    </xdr:to>
    <xdr:graphicFrame macro="">
      <xdr:nvGraphicFramePr>
        <xdr:cNvPr id="19" name="Chart 3">
          <a:extLst>
            <a:ext uri="{FF2B5EF4-FFF2-40B4-BE49-F238E27FC236}">
              <a16:creationId xmlns:a16="http://schemas.microsoft.com/office/drawing/2014/main" id="{9D766B5D-D908-FE87-A269-A57EEC7B1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273979</xdr:colOff>
      <xdr:row>26</xdr:row>
      <xdr:rowOff>35034</xdr:rowOff>
    </xdr:from>
    <xdr:to>
      <xdr:col>26</xdr:col>
      <xdr:colOff>288493</xdr:colOff>
      <xdr:row>35</xdr:row>
      <xdr:rowOff>99392</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72B21887-8EB4-EE4B-B43F-153EED54C7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243979" y="5236512"/>
              <a:ext cx="1836688" cy="1754010"/>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282623</xdr:colOff>
      <xdr:row>26</xdr:row>
      <xdr:rowOff>39248</xdr:rowOff>
    </xdr:from>
    <xdr:to>
      <xdr:col>3</xdr:col>
      <xdr:colOff>297138</xdr:colOff>
      <xdr:row>34</xdr:row>
      <xdr:rowOff>11044</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515FF43D-75C3-ECCB-EC95-E242ED12D9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2623" y="5240726"/>
              <a:ext cx="1836689" cy="1473709"/>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448895</xdr:colOff>
      <xdr:row>4</xdr:row>
      <xdr:rowOff>14376</xdr:rowOff>
    </xdr:from>
    <xdr:to>
      <xdr:col>9</xdr:col>
      <xdr:colOff>437347</xdr:colOff>
      <xdr:row>9</xdr:row>
      <xdr:rowOff>159848</xdr:rowOff>
    </xdr:to>
    <xdr:sp macro="" textlink="">
      <xdr:nvSpPr>
        <xdr:cNvPr id="22" name="Rectangle 21">
          <a:extLst>
            <a:ext uri="{FF2B5EF4-FFF2-40B4-BE49-F238E27FC236}">
              <a16:creationId xmlns:a16="http://schemas.microsoft.com/office/drawing/2014/main" id="{438C032C-616B-0676-20DF-A8F5E1A59849}"/>
            </a:ext>
          </a:extLst>
        </xdr:cNvPr>
        <xdr:cNvSpPr/>
      </xdr:nvSpPr>
      <xdr:spPr>
        <a:xfrm>
          <a:off x="4071989" y="1092678"/>
          <a:ext cx="1800000" cy="1080000"/>
        </a:xfrm>
        <a:prstGeom prst="rect">
          <a:avLst/>
        </a:prstGeom>
        <a:ln>
          <a:solidFill>
            <a:schemeClr val="accent1">
              <a:lumMod val="50000"/>
            </a:schemeClr>
          </a:solid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tr-TR" sz="1100"/>
        </a:p>
      </xdr:txBody>
    </xdr:sp>
    <xdr:clientData/>
  </xdr:twoCellAnchor>
  <xdr:oneCellAnchor>
    <xdr:from>
      <xdr:col>6</xdr:col>
      <xdr:colOff>449745</xdr:colOff>
      <xdr:row>4</xdr:row>
      <xdr:rowOff>43111</xdr:rowOff>
    </xdr:from>
    <xdr:ext cx="1800000" cy="405432"/>
    <xdr:sp macro="" textlink="">
      <xdr:nvSpPr>
        <xdr:cNvPr id="23" name="TextBox 22">
          <a:extLst>
            <a:ext uri="{FF2B5EF4-FFF2-40B4-BE49-F238E27FC236}">
              <a16:creationId xmlns:a16="http://schemas.microsoft.com/office/drawing/2014/main" id="{2E89638A-D190-D497-C57A-A9117FDB3646}"/>
            </a:ext>
          </a:extLst>
        </xdr:cNvPr>
        <xdr:cNvSpPr txBox="1"/>
      </xdr:nvSpPr>
      <xdr:spPr>
        <a:xfrm>
          <a:off x="4094093" y="1114328"/>
          <a:ext cx="18000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tr-TR" sz="2000" b="1">
              <a:latin typeface="+mn-lt"/>
            </a:rPr>
            <a:t>Total</a:t>
          </a:r>
          <a:r>
            <a:rPr lang="tr-TR" sz="2000" b="1" baseline="0">
              <a:latin typeface="+mn-lt"/>
            </a:rPr>
            <a:t> Sales:</a:t>
          </a:r>
          <a:endParaRPr lang="tr-TR" sz="2000" b="1">
            <a:latin typeface="+mn-lt"/>
          </a:endParaRPr>
        </a:p>
      </xdr:txBody>
    </xdr:sp>
    <xdr:clientData/>
  </xdr:oneCellAnchor>
  <xdr:oneCellAnchor>
    <xdr:from>
      <xdr:col>31</xdr:col>
      <xdr:colOff>350762</xdr:colOff>
      <xdr:row>14</xdr:row>
      <xdr:rowOff>72572</xdr:rowOff>
    </xdr:from>
    <xdr:ext cx="184731" cy="264560"/>
    <xdr:sp macro="" textlink="">
      <xdr:nvSpPr>
        <xdr:cNvPr id="26" name="TextBox 25">
          <a:extLst>
            <a:ext uri="{FF2B5EF4-FFF2-40B4-BE49-F238E27FC236}">
              <a16:creationId xmlns:a16="http://schemas.microsoft.com/office/drawing/2014/main" id="{0AB179AA-3BC3-2921-55CC-C9F5B423EF8A}"/>
            </a:ext>
          </a:extLst>
        </xdr:cNvPr>
        <xdr:cNvSpPr txBox="1"/>
      </xdr:nvSpPr>
      <xdr:spPr>
        <a:xfrm>
          <a:off x="19098381" y="29391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6</xdr:col>
      <xdr:colOff>467580</xdr:colOff>
      <xdr:row>6</xdr:row>
      <xdr:rowOff>62113</xdr:rowOff>
    </xdr:from>
    <xdr:ext cx="1811547" cy="495904"/>
    <xdr:sp macro="" textlink="AD14">
      <xdr:nvSpPr>
        <xdr:cNvPr id="29" name="TextBox 28">
          <a:extLst>
            <a:ext uri="{FF2B5EF4-FFF2-40B4-BE49-F238E27FC236}">
              <a16:creationId xmlns:a16="http://schemas.microsoft.com/office/drawing/2014/main" id="{570541B0-C3CA-4252-8568-6CAECBDE6F7E}"/>
            </a:ext>
          </a:extLst>
        </xdr:cNvPr>
        <xdr:cNvSpPr txBox="1"/>
      </xdr:nvSpPr>
      <xdr:spPr>
        <a:xfrm>
          <a:off x="4106519" y="1500582"/>
          <a:ext cx="1811547" cy="495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8C087BF-43BA-4CFB-8597-104AE66E1878}" type="TxLink">
            <a:rPr lang="en-US" sz="2400" b="0" i="0" u="none" strike="noStrike">
              <a:solidFill>
                <a:srgbClr val="000000"/>
              </a:solidFill>
              <a:latin typeface="Calibri"/>
              <a:ea typeface="Calibri"/>
              <a:cs typeface="Calibri"/>
            </a:rPr>
            <a:pPr algn="ctr"/>
            <a:t>68236</a:t>
          </a:fld>
          <a:endParaRPr lang="tr-TR" sz="4400">
            <a:latin typeface="+mn-lt"/>
          </a:endParaRPr>
        </a:p>
      </xdr:txBody>
    </xdr:sp>
    <xdr:clientData/>
  </xdr:oneCellAnchor>
  <xdr:twoCellAnchor>
    <xdr:from>
      <xdr:col>10</xdr:col>
      <xdr:colOff>86264</xdr:colOff>
      <xdr:row>4</xdr:row>
      <xdr:rowOff>14378</xdr:rowOff>
    </xdr:from>
    <xdr:to>
      <xdr:col>13</xdr:col>
      <xdr:colOff>74717</xdr:colOff>
      <xdr:row>9</xdr:row>
      <xdr:rowOff>159850</xdr:rowOff>
    </xdr:to>
    <xdr:sp macro="" textlink="">
      <xdr:nvSpPr>
        <xdr:cNvPr id="31" name="Rectangle 30">
          <a:extLst>
            <a:ext uri="{FF2B5EF4-FFF2-40B4-BE49-F238E27FC236}">
              <a16:creationId xmlns:a16="http://schemas.microsoft.com/office/drawing/2014/main" id="{D86A08AD-9D5F-4684-A155-7AD67B55999D}"/>
            </a:ext>
          </a:extLst>
        </xdr:cNvPr>
        <xdr:cNvSpPr/>
      </xdr:nvSpPr>
      <xdr:spPr>
        <a:xfrm>
          <a:off x="6124755" y="1092680"/>
          <a:ext cx="1800000" cy="1080000"/>
        </a:xfrm>
        <a:prstGeom prst="rect">
          <a:avLst/>
        </a:prstGeom>
        <a:solidFill>
          <a:sysClr val="window" lastClr="FFFFFF"/>
        </a:solidFill>
        <a:ln w="12700" cap="flat" cmpd="sng" algn="ctr">
          <a:solidFill>
            <a:srgbClr val="4472C4">
              <a:lumMod val="50000"/>
            </a:srgbClr>
          </a:solid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tr-TR"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xdr:from>
      <xdr:col>13</xdr:col>
      <xdr:colOff>359434</xdr:colOff>
      <xdr:row>4</xdr:row>
      <xdr:rowOff>14378</xdr:rowOff>
    </xdr:from>
    <xdr:to>
      <xdr:col>16</xdr:col>
      <xdr:colOff>347887</xdr:colOff>
      <xdr:row>9</xdr:row>
      <xdr:rowOff>159850</xdr:rowOff>
    </xdr:to>
    <xdr:sp macro="" textlink="">
      <xdr:nvSpPr>
        <xdr:cNvPr id="34" name="Rectangle 33">
          <a:extLst>
            <a:ext uri="{FF2B5EF4-FFF2-40B4-BE49-F238E27FC236}">
              <a16:creationId xmlns:a16="http://schemas.microsoft.com/office/drawing/2014/main" id="{EFC4F43C-42D2-4BCE-A10C-1A52B61CE2E7}"/>
            </a:ext>
          </a:extLst>
        </xdr:cNvPr>
        <xdr:cNvSpPr/>
      </xdr:nvSpPr>
      <xdr:spPr>
        <a:xfrm>
          <a:off x="8209472" y="1092680"/>
          <a:ext cx="1800000" cy="1080000"/>
        </a:xfrm>
        <a:prstGeom prst="rect">
          <a:avLst/>
        </a:prstGeom>
        <a:solidFill>
          <a:sysClr val="window" lastClr="FFFFFF"/>
        </a:solidFill>
        <a:ln w="12700" cap="flat" cmpd="sng" algn="ctr">
          <a:solidFill>
            <a:srgbClr val="4472C4">
              <a:lumMod val="50000"/>
            </a:srgbClr>
          </a:solid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tr-TR"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xdr:from>
      <xdr:col>17</xdr:col>
      <xdr:colOff>14377</xdr:colOff>
      <xdr:row>4</xdr:row>
      <xdr:rowOff>14378</xdr:rowOff>
    </xdr:from>
    <xdr:to>
      <xdr:col>20</xdr:col>
      <xdr:colOff>2830</xdr:colOff>
      <xdr:row>9</xdr:row>
      <xdr:rowOff>159850</xdr:rowOff>
    </xdr:to>
    <xdr:sp macro="" textlink="">
      <xdr:nvSpPr>
        <xdr:cNvPr id="35" name="Rectangle 34">
          <a:extLst>
            <a:ext uri="{FF2B5EF4-FFF2-40B4-BE49-F238E27FC236}">
              <a16:creationId xmlns:a16="http://schemas.microsoft.com/office/drawing/2014/main" id="{EC045344-F840-4403-ACF4-DD0D8F16AC03}"/>
            </a:ext>
          </a:extLst>
        </xdr:cNvPr>
        <xdr:cNvSpPr/>
      </xdr:nvSpPr>
      <xdr:spPr>
        <a:xfrm>
          <a:off x="10279811" y="1092680"/>
          <a:ext cx="1800000" cy="1080000"/>
        </a:xfrm>
        <a:prstGeom prst="rect">
          <a:avLst/>
        </a:prstGeom>
        <a:solidFill>
          <a:sysClr val="window" lastClr="FFFFFF"/>
        </a:solidFill>
        <a:ln w="12700" cap="flat" cmpd="sng" algn="ctr">
          <a:solidFill>
            <a:srgbClr val="4472C4">
              <a:lumMod val="50000"/>
            </a:srgbClr>
          </a:solid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tr-TR"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oneCellAnchor>
    <xdr:from>
      <xdr:col>10</xdr:col>
      <xdr:colOff>59857</xdr:colOff>
      <xdr:row>4</xdr:row>
      <xdr:rowOff>27435</xdr:rowOff>
    </xdr:from>
    <xdr:ext cx="1800000" cy="405432"/>
    <xdr:sp macro="" textlink="">
      <xdr:nvSpPr>
        <xdr:cNvPr id="37" name="TextBox 36">
          <a:extLst>
            <a:ext uri="{FF2B5EF4-FFF2-40B4-BE49-F238E27FC236}">
              <a16:creationId xmlns:a16="http://schemas.microsoft.com/office/drawing/2014/main" id="{09805318-2F1A-434E-939B-12A06B2D71C3}"/>
            </a:ext>
          </a:extLst>
        </xdr:cNvPr>
        <xdr:cNvSpPr txBox="1"/>
      </xdr:nvSpPr>
      <xdr:spPr>
        <a:xfrm>
          <a:off x="6124755" y="1092680"/>
          <a:ext cx="18000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tr-TR" sz="2000" b="1">
              <a:latin typeface="+mn-lt"/>
            </a:rPr>
            <a:t>Average</a:t>
          </a:r>
          <a:r>
            <a:rPr lang="tr-TR" sz="2000" b="1" baseline="0">
              <a:latin typeface="+mn-lt"/>
            </a:rPr>
            <a:t> Price:</a:t>
          </a:r>
          <a:endParaRPr lang="tr-TR" sz="2000" b="1">
            <a:latin typeface="+mn-lt"/>
          </a:endParaRPr>
        </a:p>
      </xdr:txBody>
    </xdr:sp>
    <xdr:clientData/>
  </xdr:oneCellAnchor>
  <xdr:oneCellAnchor>
    <xdr:from>
      <xdr:col>13</xdr:col>
      <xdr:colOff>325105</xdr:colOff>
      <xdr:row>4</xdr:row>
      <xdr:rowOff>27435</xdr:rowOff>
    </xdr:from>
    <xdr:ext cx="1800000" cy="405432"/>
    <xdr:sp macro="" textlink="">
      <xdr:nvSpPr>
        <xdr:cNvPr id="38" name="TextBox 37">
          <a:extLst>
            <a:ext uri="{FF2B5EF4-FFF2-40B4-BE49-F238E27FC236}">
              <a16:creationId xmlns:a16="http://schemas.microsoft.com/office/drawing/2014/main" id="{D38A724F-882F-49F3-8171-4F5BF36B63D1}"/>
            </a:ext>
          </a:extLst>
        </xdr:cNvPr>
        <xdr:cNvSpPr txBox="1"/>
      </xdr:nvSpPr>
      <xdr:spPr>
        <a:xfrm>
          <a:off x="8209472" y="1092680"/>
          <a:ext cx="18000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tr-TR" sz="2000" b="1">
              <a:latin typeface="+mn-lt"/>
            </a:rPr>
            <a:t>Top</a:t>
          </a:r>
          <a:r>
            <a:rPr lang="tr-TR" sz="2000" b="1" baseline="0">
              <a:latin typeface="+mn-lt"/>
            </a:rPr>
            <a:t> Category:</a:t>
          </a:r>
          <a:endParaRPr lang="tr-TR" sz="2000" b="1">
            <a:latin typeface="+mn-lt"/>
          </a:endParaRPr>
        </a:p>
      </xdr:txBody>
    </xdr:sp>
    <xdr:clientData/>
  </xdr:oneCellAnchor>
  <xdr:oneCellAnchor>
    <xdr:from>
      <xdr:col>16</xdr:col>
      <xdr:colOff>585305</xdr:colOff>
      <xdr:row>4</xdr:row>
      <xdr:rowOff>49522</xdr:rowOff>
    </xdr:from>
    <xdr:ext cx="1913562" cy="342786"/>
    <xdr:sp macro="" textlink="">
      <xdr:nvSpPr>
        <xdr:cNvPr id="39" name="TextBox 38">
          <a:extLst>
            <a:ext uri="{FF2B5EF4-FFF2-40B4-BE49-F238E27FC236}">
              <a16:creationId xmlns:a16="http://schemas.microsoft.com/office/drawing/2014/main" id="{86CA7C9F-F3BE-4FD7-B1F1-B2AAD1D9A461}"/>
            </a:ext>
          </a:extLst>
        </xdr:cNvPr>
        <xdr:cNvSpPr txBox="1"/>
      </xdr:nvSpPr>
      <xdr:spPr>
        <a:xfrm>
          <a:off x="10303566" y="1120739"/>
          <a:ext cx="191356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tr-TR" sz="1600" b="1"/>
            <a:t>Inventory Efficiency:</a:t>
          </a:r>
          <a:endParaRPr lang="tr-TR" sz="1600" b="1">
            <a:latin typeface="+mn-lt"/>
          </a:endParaRPr>
        </a:p>
      </xdr:txBody>
    </xdr:sp>
    <xdr:clientData/>
  </xdr:oneCellAnchor>
  <xdr:oneCellAnchor>
    <xdr:from>
      <xdr:col>10</xdr:col>
      <xdr:colOff>83183</xdr:colOff>
      <xdr:row>6</xdr:row>
      <xdr:rowOff>35211</xdr:rowOff>
    </xdr:from>
    <xdr:ext cx="1811547" cy="495904"/>
    <xdr:sp macro="" textlink="AD13">
      <xdr:nvSpPr>
        <xdr:cNvPr id="40" name="TextBox 39">
          <a:extLst>
            <a:ext uri="{FF2B5EF4-FFF2-40B4-BE49-F238E27FC236}">
              <a16:creationId xmlns:a16="http://schemas.microsoft.com/office/drawing/2014/main" id="{1F589C37-810D-4B3F-8F47-9D6B3FAD9AB4}"/>
            </a:ext>
          </a:extLst>
        </xdr:cNvPr>
        <xdr:cNvSpPr txBox="1"/>
      </xdr:nvSpPr>
      <xdr:spPr>
        <a:xfrm>
          <a:off x="6148081" y="1473680"/>
          <a:ext cx="1811547" cy="495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78593AC-C429-4C69-B777-F14EFDF8F582}" type="TxLink">
            <a:rPr lang="en-US" sz="2400" b="0" i="0" u="none" strike="noStrike">
              <a:solidFill>
                <a:srgbClr val="000000"/>
              </a:solidFill>
              <a:latin typeface="Calibri"/>
              <a:ea typeface="Calibri"/>
              <a:cs typeface="Calibri"/>
            </a:rPr>
            <a:pPr algn="ctr"/>
            <a:t>$56,79</a:t>
          </a:fld>
          <a:endParaRPr lang="en-US" sz="2400" b="0" i="0" u="none" strike="noStrike">
            <a:solidFill>
              <a:srgbClr val="000000"/>
            </a:solidFill>
            <a:latin typeface="Calibri"/>
            <a:ea typeface="Calibri"/>
            <a:cs typeface="Calibri"/>
          </a:endParaRPr>
        </a:p>
      </xdr:txBody>
    </xdr:sp>
    <xdr:clientData/>
  </xdr:oneCellAnchor>
  <xdr:oneCellAnchor>
    <xdr:from>
      <xdr:col>13</xdr:col>
      <xdr:colOff>332880</xdr:colOff>
      <xdr:row>6</xdr:row>
      <xdr:rowOff>50762</xdr:rowOff>
    </xdr:from>
    <xdr:ext cx="1811547" cy="495904"/>
    <xdr:sp macro="" textlink="AD12">
      <xdr:nvSpPr>
        <xdr:cNvPr id="41" name="TextBox 40">
          <a:extLst>
            <a:ext uri="{FF2B5EF4-FFF2-40B4-BE49-F238E27FC236}">
              <a16:creationId xmlns:a16="http://schemas.microsoft.com/office/drawing/2014/main" id="{FB3A18A7-3BC1-40C2-ABE2-FD082CF95141}"/>
            </a:ext>
          </a:extLst>
        </xdr:cNvPr>
        <xdr:cNvSpPr txBox="1"/>
      </xdr:nvSpPr>
      <xdr:spPr>
        <a:xfrm>
          <a:off x="8217247" y="1489231"/>
          <a:ext cx="1811547" cy="495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75A453DB-902A-4AB4-8DBC-845AC68FF678}" type="TxLink">
            <a:rPr lang="en-US" sz="2400" b="0" i="0" u="none" strike="noStrike">
              <a:solidFill>
                <a:srgbClr val="000000"/>
              </a:solidFill>
              <a:latin typeface="Calibri"/>
              <a:ea typeface="Calibri"/>
              <a:cs typeface="Calibri"/>
            </a:rPr>
            <a:pPr algn="ctr"/>
            <a:t>Toys</a:t>
          </a:fld>
          <a:endParaRPr lang="tr-TR" sz="8000">
            <a:latin typeface="+mn-lt"/>
          </a:endParaRPr>
        </a:p>
      </xdr:txBody>
    </xdr:sp>
    <xdr:clientData/>
  </xdr:oneCellAnchor>
  <xdr:oneCellAnchor>
    <xdr:from>
      <xdr:col>17</xdr:col>
      <xdr:colOff>586</xdr:colOff>
      <xdr:row>6</xdr:row>
      <xdr:rowOff>66313</xdr:rowOff>
    </xdr:from>
    <xdr:ext cx="1811547" cy="495904"/>
    <xdr:sp macro="" textlink="AD11">
      <xdr:nvSpPr>
        <xdr:cNvPr id="43" name="TextBox 42">
          <a:extLst>
            <a:ext uri="{FF2B5EF4-FFF2-40B4-BE49-F238E27FC236}">
              <a16:creationId xmlns:a16="http://schemas.microsoft.com/office/drawing/2014/main" id="{EB6CCC95-0ED7-4489-9F00-5021CF8CB472}"/>
            </a:ext>
          </a:extLst>
        </xdr:cNvPr>
        <xdr:cNvSpPr txBox="1"/>
      </xdr:nvSpPr>
      <xdr:spPr>
        <a:xfrm>
          <a:off x="10310913" y="1504782"/>
          <a:ext cx="1811547" cy="495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82D0538-EBA5-4289-94BA-64E94D408A6C}" type="TxLink">
            <a:rPr lang="en-US" sz="2400" b="0" i="0" u="none" strike="noStrike">
              <a:solidFill>
                <a:srgbClr val="000000"/>
              </a:solidFill>
              <a:latin typeface="Calibri"/>
              <a:ea typeface="Calibri"/>
              <a:cs typeface="Calibri"/>
            </a:rPr>
            <a:pPr algn="ctr"/>
            <a:t>0,49</a:t>
          </a:fld>
          <a:endParaRPr lang="tr-TR" sz="19900">
            <a:latin typeface="+mn-l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e Akın" refreshedDate="46097.708478472225" createdVersion="8" refreshedVersion="8" minRefreshableVersion="3" recordCount="500" xr:uid="{CA7F3E57-D523-4160-997D-16178E3C1C1F}">
  <cacheSource type="worksheet">
    <worksheetSource ref="A1:O501" sheet="Retail Store Inventory"/>
  </cacheSource>
  <cacheFields count="17">
    <cacheField name="Date" numFmtId="14">
      <sharedItems containsSemiMixedTypes="0" containsNonDate="0" containsDate="1" containsString="0" minDate="2022-01-01T00:00:00" maxDate="2022-01-06T00:00:00"/>
    </cacheField>
    <cacheField name="Store ID" numFmtId="0">
      <sharedItems/>
    </cacheField>
    <cacheField name="Product ID" numFmtId="0">
      <sharedItems/>
    </cacheField>
    <cacheField name="Category" numFmtId="0">
      <sharedItems count="5">
        <s v="Groceries"/>
        <s v="Toys"/>
        <s v="Electronics"/>
        <s v="Furniture"/>
        <s v="Clothing"/>
      </sharedItems>
    </cacheField>
    <cacheField name="Region" numFmtId="0">
      <sharedItems count="4">
        <s v="North"/>
        <s v="South"/>
        <s v="West"/>
        <s v="East"/>
      </sharedItems>
    </cacheField>
    <cacheField name="Inventory Level" numFmtId="1">
      <sharedItems containsSemiMixedTypes="0" containsString="0" containsNumber="1" containsInteger="1" minValue="51" maxValue="499"/>
    </cacheField>
    <cacheField name="Units Sold" numFmtId="1">
      <sharedItems containsSemiMixedTypes="0" containsString="0" containsNumber="1" containsInteger="1" minValue="0" maxValue="479"/>
    </cacheField>
    <cacheField name="Units Ordered" numFmtId="1">
      <sharedItems containsSemiMixedTypes="0" containsString="0" containsNumber="1" containsInteger="1" minValue="20" maxValue="200"/>
    </cacheField>
    <cacheField name="Demand Forecast" numFmtId="164">
      <sharedItems containsSemiMixedTypes="0" containsString="0" containsNumber="1" minValue="-3.91" maxValue="469.74"/>
    </cacheField>
    <cacheField name="Price" numFmtId="164">
      <sharedItems containsSemiMixedTypes="0" containsString="0" containsNumber="1" minValue="10.19" maxValue="99.76"/>
    </cacheField>
    <cacheField name="Discount" numFmtId="1">
      <sharedItems containsSemiMixedTypes="0" containsString="0" containsNumber="1" containsInteger="1" minValue="0" maxValue="20"/>
    </cacheField>
    <cacheField name="Weather Condition" numFmtId="0">
      <sharedItems/>
    </cacheField>
    <cacheField name="Holiday/Promotion" numFmtId="0">
      <sharedItems containsSemiMixedTypes="0" containsString="0" containsNumber="1" containsInteger="1" minValue="0" maxValue="1"/>
    </cacheField>
    <cacheField name="Competitor Pricing" numFmtId="164">
      <sharedItems containsSemiMixedTypes="0" containsString="0" containsNumber="1" minValue="7.6" maxValue="103.3"/>
    </cacheField>
    <cacheField name="Seasonality" numFmtId="0">
      <sharedItems count="4">
        <s v="Autumn"/>
        <s v="Summer"/>
        <s v="Winter"/>
        <s v="Spring"/>
      </sharedItems>
    </cacheField>
    <cacheField name="Stock Efficiency" numFmtId="0" formula="'Units Sold'/'Inventory Level'" databaseField="0"/>
    <cacheField name="Price Difference" numFmtId="0" formula="Price-'Competitor Pricing'"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e Akın" refreshedDate="46097.762220949073" createdVersion="8" refreshedVersion="8" minRefreshableVersion="3" recordCount="500" xr:uid="{6E6C5ED0-23D8-4972-B32A-1ABB22C2031F}">
  <cacheSource type="worksheet">
    <worksheetSource name="Table1"/>
  </cacheSource>
  <cacheFields count="16">
    <cacheField name="Date" numFmtId="14">
      <sharedItems containsSemiMixedTypes="0" containsNonDate="0" containsDate="1" containsString="0" minDate="2022-01-01T00:00:00" maxDate="2022-01-06T00:00:00" count="5">
        <d v="2022-01-01T00:00:00"/>
        <d v="2022-01-02T00:00:00"/>
        <d v="2022-01-03T00:00:00"/>
        <d v="2022-01-04T00:00:00"/>
        <d v="2022-01-05T00:00:00"/>
      </sharedItems>
    </cacheField>
    <cacheField name="Store ID" numFmtId="0">
      <sharedItems/>
    </cacheField>
    <cacheField name="Product ID" numFmtId="0">
      <sharedItems/>
    </cacheField>
    <cacheField name="Category" numFmtId="0">
      <sharedItems count="5">
        <s v="Groceries"/>
        <s v="Toys"/>
        <s v="Electronics"/>
        <s v="Furniture"/>
        <s v="Clothing"/>
      </sharedItems>
    </cacheField>
    <cacheField name="Region" numFmtId="0">
      <sharedItems count="4">
        <s v="North"/>
        <s v="South"/>
        <s v="West"/>
        <s v="East"/>
      </sharedItems>
    </cacheField>
    <cacheField name="Inventory Level" numFmtId="1">
      <sharedItems containsSemiMixedTypes="0" containsString="0" containsNumber="1" containsInteger="1" minValue="51" maxValue="499"/>
    </cacheField>
    <cacheField name="Units Sold" numFmtId="1">
      <sharedItems containsSemiMixedTypes="0" containsString="0" containsNumber="1" containsInteger="1" minValue="0" maxValue="479"/>
    </cacheField>
    <cacheField name="Units Ordered" numFmtId="1">
      <sharedItems containsSemiMixedTypes="0" containsString="0" containsNumber="1" containsInteger="1" minValue="20" maxValue="200"/>
    </cacheField>
    <cacheField name="Demand Forecast" numFmtId="164">
      <sharedItems containsSemiMixedTypes="0" containsString="0" containsNumber="1" minValue="-3.91" maxValue="469.74"/>
    </cacheField>
    <cacheField name="Price" numFmtId="164">
      <sharedItems containsSemiMixedTypes="0" containsString="0" containsNumber="1" minValue="10.19" maxValue="99.76"/>
    </cacheField>
    <cacheField name="Discount" numFmtId="1">
      <sharedItems containsSemiMixedTypes="0" containsString="0" containsNumber="1" containsInteger="1" minValue="0" maxValue="20" count="5">
        <n v="20"/>
        <n v="10"/>
        <n v="0"/>
        <n v="5"/>
        <n v="15"/>
      </sharedItems>
    </cacheField>
    <cacheField name="Weather Condition" numFmtId="0">
      <sharedItems count="4">
        <s v="Rainy"/>
        <s v="Sunny"/>
        <s v="Cloudy"/>
        <s v="Snowy"/>
      </sharedItems>
    </cacheField>
    <cacheField name="Holiday/Promotion" numFmtId="0">
      <sharedItems containsSemiMixedTypes="0" containsString="0" containsNumber="1" containsInteger="1" minValue="0" maxValue="1" count="2">
        <n v="0"/>
        <n v="1"/>
      </sharedItems>
    </cacheField>
    <cacheField name="Competitor Pricing" numFmtId="164">
      <sharedItems containsSemiMixedTypes="0" containsString="0" containsNumber="1" minValue="7.6" maxValue="103.3"/>
    </cacheField>
    <cacheField name="Seasonality" numFmtId="0">
      <sharedItems count="4">
        <s v="Autumn"/>
        <s v="Summer"/>
        <s v="Winter"/>
        <s v="Spring"/>
      </sharedItems>
    </cacheField>
    <cacheField name="Stock Efficiency" numFmtId="0">
      <sharedItems containsSemiMixedTypes="0" containsString="0" containsNumber="1" minValue="0" maxValue="1"/>
    </cacheField>
  </cacheFields>
  <extLst>
    <ext xmlns:x14="http://schemas.microsoft.com/office/spreadsheetml/2009/9/main" uri="{725AE2AE-9491-48be-B2B4-4EB974FC3084}">
      <x14:pivotCacheDefinition pivotCacheId="49080228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e Akın" refreshedDate="46097.771699999998" createdVersion="8" refreshedVersion="8" minRefreshableVersion="3" recordCount="500" xr:uid="{8A649E07-ABBD-41E4-8CCC-0A41FE70282A}">
  <cacheSource type="worksheet">
    <worksheetSource name="Table15"/>
  </cacheSource>
  <cacheFields count="17">
    <cacheField name="Date" numFmtId="14">
      <sharedItems containsSemiMixedTypes="0" containsNonDate="0" containsDate="1" containsString="0" minDate="2022-01-01T00:00:00" maxDate="2022-01-06T00:00:00"/>
    </cacheField>
    <cacheField name="Store ID" numFmtId="0">
      <sharedItems/>
    </cacheField>
    <cacheField name="Product ID" numFmtId="0">
      <sharedItems/>
    </cacheField>
    <cacheField name="Category" numFmtId="0">
      <sharedItems count="5">
        <s v="Groceries"/>
        <s v="Toys"/>
        <s v="Electronics"/>
        <s v="Furniture"/>
        <s v="Clothing"/>
      </sharedItems>
    </cacheField>
    <cacheField name="Region" numFmtId="0">
      <sharedItems/>
    </cacheField>
    <cacheField name="Inventory Level" numFmtId="1">
      <sharedItems containsSemiMixedTypes="0" containsString="0" containsNumber="1" containsInteger="1" minValue="51" maxValue="499"/>
    </cacheField>
    <cacheField name="Units Sold" numFmtId="1">
      <sharedItems containsSemiMixedTypes="0" containsString="0" containsNumber="1" containsInteger="1" minValue="0" maxValue="479"/>
    </cacheField>
    <cacheField name="Units Ordered" numFmtId="1">
      <sharedItems containsSemiMixedTypes="0" containsString="0" containsNumber="1" containsInteger="1" minValue="20" maxValue="200"/>
    </cacheField>
    <cacheField name="Demand Forecast" numFmtId="164">
      <sharedItems containsSemiMixedTypes="0" containsString="0" containsNumber="1" minValue="-3.91" maxValue="469.74"/>
    </cacheField>
    <cacheField name="Price" numFmtId="164">
      <sharedItems containsSemiMixedTypes="0" containsString="0" containsNumber="1" minValue="10.19" maxValue="99.76"/>
    </cacheField>
    <cacheField name="Discount" numFmtId="1">
      <sharedItems containsSemiMixedTypes="0" containsString="0" containsNumber="1" containsInteger="1" minValue="0" maxValue="20"/>
    </cacheField>
    <cacheField name="Weather Condition" numFmtId="0">
      <sharedItems/>
    </cacheField>
    <cacheField name="Holiday/Promotion" numFmtId="0">
      <sharedItems containsSemiMixedTypes="0" containsString="0" containsNumber="1" containsInteger="1" minValue="0" maxValue="1"/>
    </cacheField>
    <cacheField name="Competitor Pricing" numFmtId="164">
      <sharedItems containsSemiMixedTypes="0" containsString="0" containsNumber="1" minValue="7.6" maxValue="103.3"/>
    </cacheField>
    <cacheField name="Seasonality" numFmtId="0">
      <sharedItems/>
    </cacheField>
    <cacheField name="Stock Efficiency" numFmtId="0">
      <sharedItems containsSemiMixedTypes="0" containsString="0" containsNumber="1" minValue="0" maxValue="1"/>
    </cacheField>
    <cacheField name="Price Difference" numFmtId="164">
      <sharedItems containsSemiMixedTypes="0" containsString="0" containsNumber="1" minValue="-4.9400000000000013" maxValue="4.990000000000009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2-01-01T00:00:00"/>
    <s v="S001"/>
    <s v="P0001"/>
    <x v="0"/>
    <x v="0"/>
    <n v="231"/>
    <n v="127"/>
    <n v="55"/>
    <n v="135.47"/>
    <n v="33.5"/>
    <n v="20"/>
    <s v="Rainy"/>
    <n v="0"/>
    <n v="29.69"/>
    <x v="0"/>
  </r>
  <r>
    <d v="2022-01-01T00:00:00"/>
    <s v="S001"/>
    <s v="P0002"/>
    <x v="1"/>
    <x v="1"/>
    <n v="204"/>
    <n v="150"/>
    <n v="66"/>
    <n v="144.04"/>
    <n v="63.01"/>
    <n v="20"/>
    <s v="Sunny"/>
    <n v="0"/>
    <n v="66.16"/>
    <x v="0"/>
  </r>
  <r>
    <d v="2022-01-01T00:00:00"/>
    <s v="S001"/>
    <s v="P0003"/>
    <x v="1"/>
    <x v="2"/>
    <n v="102"/>
    <n v="65"/>
    <n v="51"/>
    <n v="74.02"/>
    <n v="27.99"/>
    <n v="10"/>
    <s v="Sunny"/>
    <n v="1"/>
    <n v="31.32"/>
    <x v="1"/>
  </r>
  <r>
    <d v="2022-01-01T00:00:00"/>
    <s v="S001"/>
    <s v="P0004"/>
    <x v="1"/>
    <x v="0"/>
    <n v="469"/>
    <n v="61"/>
    <n v="164"/>
    <n v="62.18"/>
    <n v="32.72"/>
    <n v="10"/>
    <s v="Cloudy"/>
    <n v="1"/>
    <n v="34.74"/>
    <x v="0"/>
  </r>
  <r>
    <d v="2022-01-01T00:00:00"/>
    <s v="S001"/>
    <s v="P0005"/>
    <x v="2"/>
    <x v="3"/>
    <n v="166"/>
    <n v="14"/>
    <n v="135"/>
    <n v="9.26"/>
    <n v="73.64"/>
    <n v="0"/>
    <s v="Sunny"/>
    <n v="0"/>
    <n v="68.95"/>
    <x v="1"/>
  </r>
  <r>
    <d v="2022-01-01T00:00:00"/>
    <s v="S001"/>
    <s v="P0006"/>
    <x v="0"/>
    <x v="1"/>
    <n v="138"/>
    <n v="128"/>
    <n v="102"/>
    <n v="139.82"/>
    <n v="76.83"/>
    <n v="10"/>
    <s v="Sunny"/>
    <n v="1"/>
    <n v="79.349999999999994"/>
    <x v="2"/>
  </r>
  <r>
    <d v="2022-01-01T00:00:00"/>
    <s v="S001"/>
    <s v="P0007"/>
    <x v="3"/>
    <x v="3"/>
    <n v="359"/>
    <n v="97"/>
    <n v="167"/>
    <n v="108.92"/>
    <n v="34.159999999999997"/>
    <n v="10"/>
    <s v="Rainy"/>
    <n v="1"/>
    <n v="36.549999999999997"/>
    <x v="2"/>
  </r>
  <r>
    <d v="2022-01-01T00:00:00"/>
    <s v="S001"/>
    <s v="P0008"/>
    <x v="4"/>
    <x v="0"/>
    <n v="380"/>
    <n v="312"/>
    <n v="54"/>
    <n v="329.73"/>
    <n v="97.99"/>
    <n v="5"/>
    <s v="Cloudy"/>
    <n v="0"/>
    <n v="100.09"/>
    <x v="3"/>
  </r>
  <r>
    <d v="2022-01-01T00:00:00"/>
    <s v="S001"/>
    <s v="P0009"/>
    <x v="2"/>
    <x v="2"/>
    <n v="183"/>
    <n v="175"/>
    <n v="135"/>
    <n v="174.15"/>
    <n v="20.74"/>
    <n v="10"/>
    <s v="Cloudy"/>
    <n v="0"/>
    <n v="17.66"/>
    <x v="0"/>
  </r>
  <r>
    <d v="2022-01-01T00:00:00"/>
    <s v="S001"/>
    <s v="P0010"/>
    <x v="1"/>
    <x v="1"/>
    <n v="108"/>
    <n v="28"/>
    <n v="196"/>
    <n v="24.47"/>
    <n v="59.99"/>
    <n v="0"/>
    <s v="Rainy"/>
    <n v="1"/>
    <n v="61.21"/>
    <x v="2"/>
  </r>
  <r>
    <d v="2022-01-01T00:00:00"/>
    <s v="S001"/>
    <s v="P0011"/>
    <x v="3"/>
    <x v="1"/>
    <n v="258"/>
    <n v="150"/>
    <n v="153"/>
    <n v="152.74"/>
    <n v="58.53"/>
    <n v="10"/>
    <s v="Sunny"/>
    <n v="1"/>
    <n v="61.42"/>
    <x v="3"/>
  </r>
  <r>
    <d v="2022-01-01T00:00:00"/>
    <s v="S001"/>
    <s v="P0012"/>
    <x v="4"/>
    <x v="2"/>
    <n v="66"/>
    <n v="24"/>
    <n v="70"/>
    <n v="26.75"/>
    <n v="58.25"/>
    <n v="20"/>
    <s v="Snowy"/>
    <n v="0"/>
    <n v="62.21"/>
    <x v="3"/>
  </r>
  <r>
    <d v="2022-01-01T00:00:00"/>
    <s v="S001"/>
    <s v="P0013"/>
    <x v="1"/>
    <x v="1"/>
    <n v="96"/>
    <n v="42"/>
    <n v="85"/>
    <n v="41.46"/>
    <n v="43.6"/>
    <n v="0"/>
    <s v="Cloudy"/>
    <n v="0"/>
    <n v="46.31"/>
    <x v="3"/>
  </r>
  <r>
    <d v="2022-01-01T00:00:00"/>
    <s v="S001"/>
    <s v="P0014"/>
    <x v="4"/>
    <x v="2"/>
    <n v="193"/>
    <n v="12"/>
    <n v="187"/>
    <n v="6.8"/>
    <n v="78.11"/>
    <n v="0"/>
    <s v="Sunny"/>
    <n v="0"/>
    <n v="80.06"/>
    <x v="3"/>
  </r>
  <r>
    <d v="2022-01-01T00:00:00"/>
    <s v="S001"/>
    <s v="P0015"/>
    <x v="4"/>
    <x v="0"/>
    <n v="379"/>
    <n v="369"/>
    <n v="154"/>
    <n v="363.46"/>
    <n v="92.99"/>
    <n v="15"/>
    <s v="Snowy"/>
    <n v="0"/>
    <n v="95.8"/>
    <x v="2"/>
  </r>
  <r>
    <d v="2022-01-01T00:00:00"/>
    <s v="S001"/>
    <s v="P0016"/>
    <x v="2"/>
    <x v="0"/>
    <n v="363"/>
    <n v="255"/>
    <n v="69"/>
    <n v="255.74"/>
    <n v="21.9"/>
    <n v="5"/>
    <s v="Cloudy"/>
    <n v="1"/>
    <n v="20.27"/>
    <x v="0"/>
  </r>
  <r>
    <d v="2022-01-01T00:00:00"/>
    <s v="S001"/>
    <s v="P0017"/>
    <x v="1"/>
    <x v="2"/>
    <n v="318"/>
    <n v="246"/>
    <n v="177"/>
    <n v="255.37"/>
    <n v="21.07"/>
    <n v="20"/>
    <s v="Sunny"/>
    <n v="0"/>
    <n v="16.489999999999998"/>
    <x v="2"/>
  </r>
  <r>
    <d v="2022-01-01T00:00:00"/>
    <s v="S001"/>
    <s v="P0018"/>
    <x v="4"/>
    <x v="1"/>
    <n v="241"/>
    <n v="151"/>
    <n v="47"/>
    <n v="147.27000000000001"/>
    <n v="19.57"/>
    <n v="5"/>
    <s v="Cloudy"/>
    <n v="0"/>
    <n v="23.13"/>
    <x v="0"/>
  </r>
  <r>
    <d v="2022-01-01T00:00:00"/>
    <s v="S001"/>
    <s v="P0019"/>
    <x v="4"/>
    <x v="3"/>
    <n v="352"/>
    <n v="257"/>
    <n v="186"/>
    <n v="267.38"/>
    <n v="73.28"/>
    <n v="10"/>
    <s v="Cloudy"/>
    <n v="0"/>
    <n v="77.260000000000005"/>
    <x v="2"/>
  </r>
  <r>
    <d v="2022-01-01T00:00:00"/>
    <s v="S001"/>
    <s v="P0020"/>
    <x v="1"/>
    <x v="3"/>
    <n v="274"/>
    <n v="99"/>
    <n v="166"/>
    <n v="115.23"/>
    <n v="30.24"/>
    <n v="5"/>
    <s v="Cloudy"/>
    <n v="0"/>
    <n v="27.1"/>
    <x v="3"/>
  </r>
  <r>
    <d v="2022-01-01T00:00:00"/>
    <s v="S002"/>
    <s v="P0001"/>
    <x v="0"/>
    <x v="1"/>
    <n v="343"/>
    <n v="104"/>
    <n v="144"/>
    <n v="112.55"/>
    <n v="32.799999999999997"/>
    <n v="20"/>
    <s v="Sunny"/>
    <n v="1"/>
    <n v="30.78"/>
    <x v="3"/>
  </r>
  <r>
    <d v="2022-01-01T00:00:00"/>
    <s v="S002"/>
    <s v="P0002"/>
    <x v="4"/>
    <x v="2"/>
    <n v="373"/>
    <n v="141"/>
    <n v="151"/>
    <n v="135.62"/>
    <n v="46.16"/>
    <n v="10"/>
    <s v="Rainy"/>
    <n v="1"/>
    <n v="45.21"/>
    <x v="2"/>
  </r>
  <r>
    <d v="2022-01-01T00:00:00"/>
    <s v="S002"/>
    <s v="P0003"/>
    <x v="3"/>
    <x v="3"/>
    <n v="445"/>
    <n v="182"/>
    <n v="119"/>
    <n v="176.31"/>
    <n v="20.46"/>
    <n v="20"/>
    <s v="Snowy"/>
    <n v="1"/>
    <n v="22"/>
    <x v="3"/>
  </r>
  <r>
    <d v="2022-01-01T00:00:00"/>
    <s v="S002"/>
    <s v="P0004"/>
    <x v="1"/>
    <x v="2"/>
    <n v="191"/>
    <n v="63"/>
    <n v="115"/>
    <n v="54.57"/>
    <n v="26.19"/>
    <n v="0"/>
    <s v="Cloudy"/>
    <n v="0"/>
    <n v="28.06"/>
    <x v="0"/>
  </r>
  <r>
    <d v="2022-01-01T00:00:00"/>
    <s v="S002"/>
    <s v="P0005"/>
    <x v="1"/>
    <x v="2"/>
    <n v="281"/>
    <n v="156"/>
    <n v="25"/>
    <n v="150.9"/>
    <n v="83.29"/>
    <n v="20"/>
    <s v="Rainy"/>
    <n v="0"/>
    <n v="80.64"/>
    <x v="0"/>
  </r>
  <r>
    <d v="2022-01-01T00:00:00"/>
    <s v="S002"/>
    <s v="P0006"/>
    <x v="3"/>
    <x v="0"/>
    <n v="492"/>
    <n v="250"/>
    <n v="168"/>
    <n v="242.57"/>
    <n v="85.59"/>
    <n v="20"/>
    <s v="Cloudy"/>
    <n v="0"/>
    <n v="86.82"/>
    <x v="2"/>
  </r>
  <r>
    <d v="2022-01-01T00:00:00"/>
    <s v="S002"/>
    <s v="P0007"/>
    <x v="0"/>
    <x v="2"/>
    <n v="460"/>
    <n v="393"/>
    <n v="70"/>
    <n v="401.48"/>
    <n v="91.13"/>
    <n v="5"/>
    <s v="Sunny"/>
    <n v="0"/>
    <n v="93.33"/>
    <x v="1"/>
  </r>
  <r>
    <d v="2022-01-01T00:00:00"/>
    <s v="S002"/>
    <s v="P0008"/>
    <x v="2"/>
    <x v="2"/>
    <n v="304"/>
    <n v="29"/>
    <n v="99"/>
    <n v="35.54"/>
    <n v="66.959999999999994"/>
    <n v="20"/>
    <s v="Snowy"/>
    <n v="0"/>
    <n v="65.36"/>
    <x v="1"/>
  </r>
  <r>
    <d v="2022-01-01T00:00:00"/>
    <s v="S002"/>
    <s v="P0009"/>
    <x v="4"/>
    <x v="1"/>
    <n v="113"/>
    <n v="9"/>
    <n v="84"/>
    <n v="14.78"/>
    <n v="81.290000000000006"/>
    <n v="5"/>
    <s v="Rainy"/>
    <n v="1"/>
    <n v="82.06"/>
    <x v="2"/>
  </r>
  <r>
    <d v="2022-01-01T00:00:00"/>
    <s v="S002"/>
    <s v="P0010"/>
    <x v="2"/>
    <x v="0"/>
    <n v="157"/>
    <n v="126"/>
    <n v="181"/>
    <n v="132.75"/>
    <n v="60.84"/>
    <n v="0"/>
    <s v="Snowy"/>
    <n v="1"/>
    <n v="65.22"/>
    <x v="2"/>
  </r>
  <r>
    <d v="2022-01-01T00:00:00"/>
    <s v="S002"/>
    <s v="P0011"/>
    <x v="0"/>
    <x v="2"/>
    <n v="67"/>
    <n v="13"/>
    <n v="33"/>
    <n v="7.44"/>
    <n v="34.619999999999997"/>
    <n v="0"/>
    <s v="Snowy"/>
    <n v="1"/>
    <n v="33.979999999999997"/>
    <x v="0"/>
  </r>
  <r>
    <d v="2022-01-01T00:00:00"/>
    <s v="S002"/>
    <s v="P0012"/>
    <x v="0"/>
    <x v="3"/>
    <n v="281"/>
    <n v="25"/>
    <n v="136"/>
    <n v="37.270000000000003"/>
    <n v="19.559999999999999"/>
    <n v="5"/>
    <s v="Rainy"/>
    <n v="1"/>
    <n v="19.010000000000002"/>
    <x v="2"/>
  </r>
  <r>
    <d v="2022-01-01T00:00:00"/>
    <s v="S002"/>
    <s v="P0013"/>
    <x v="4"/>
    <x v="3"/>
    <n v="389"/>
    <n v="283"/>
    <n v="177"/>
    <n v="299.7"/>
    <n v="57.78"/>
    <n v="20"/>
    <s v="Cloudy"/>
    <n v="0"/>
    <n v="58.5"/>
    <x v="3"/>
  </r>
  <r>
    <d v="2022-01-01T00:00:00"/>
    <s v="S002"/>
    <s v="P0014"/>
    <x v="2"/>
    <x v="3"/>
    <n v="465"/>
    <n v="359"/>
    <n v="77"/>
    <n v="370.36"/>
    <n v="91.28"/>
    <n v="20"/>
    <s v="Cloudy"/>
    <n v="0"/>
    <n v="90.85"/>
    <x v="1"/>
  </r>
  <r>
    <d v="2022-01-01T00:00:00"/>
    <s v="S002"/>
    <s v="P0015"/>
    <x v="1"/>
    <x v="1"/>
    <n v="197"/>
    <n v="129"/>
    <n v="94"/>
    <n v="148.55000000000001"/>
    <n v="59.9"/>
    <n v="15"/>
    <s v="Sunny"/>
    <n v="1"/>
    <n v="55.23"/>
    <x v="2"/>
  </r>
  <r>
    <d v="2022-01-01T00:00:00"/>
    <s v="S002"/>
    <s v="P0016"/>
    <x v="1"/>
    <x v="1"/>
    <n v="242"/>
    <n v="63"/>
    <n v="85"/>
    <n v="58.07"/>
    <n v="45.65"/>
    <n v="20"/>
    <s v="Rainy"/>
    <n v="1"/>
    <n v="42.17"/>
    <x v="3"/>
  </r>
  <r>
    <d v="2022-01-01T00:00:00"/>
    <s v="S002"/>
    <s v="P0017"/>
    <x v="0"/>
    <x v="2"/>
    <n v="398"/>
    <n v="373"/>
    <n v="92"/>
    <n v="390.89"/>
    <n v="11.71"/>
    <n v="20"/>
    <s v="Cloudy"/>
    <n v="1"/>
    <n v="10"/>
    <x v="2"/>
  </r>
  <r>
    <d v="2022-01-01T00:00:00"/>
    <s v="S002"/>
    <s v="P0018"/>
    <x v="0"/>
    <x v="0"/>
    <n v="234"/>
    <n v="160"/>
    <n v="140"/>
    <n v="177.41"/>
    <n v="58.84"/>
    <n v="5"/>
    <s v="Cloudy"/>
    <n v="0"/>
    <n v="54.39"/>
    <x v="1"/>
  </r>
  <r>
    <d v="2022-01-01T00:00:00"/>
    <s v="S002"/>
    <s v="P0019"/>
    <x v="1"/>
    <x v="3"/>
    <n v="67"/>
    <n v="15"/>
    <n v="186"/>
    <n v="34.380000000000003"/>
    <n v="84.99"/>
    <n v="5"/>
    <s v="Sunny"/>
    <n v="1"/>
    <n v="81.02"/>
    <x v="2"/>
  </r>
  <r>
    <d v="2022-01-01T00:00:00"/>
    <s v="S002"/>
    <s v="P0020"/>
    <x v="1"/>
    <x v="2"/>
    <n v="221"/>
    <n v="101"/>
    <n v="38"/>
    <n v="115"/>
    <n v="87.1"/>
    <n v="0"/>
    <s v="Rainy"/>
    <n v="1"/>
    <n v="91.56"/>
    <x v="3"/>
  </r>
  <r>
    <d v="2022-01-01T00:00:00"/>
    <s v="S003"/>
    <s v="P0001"/>
    <x v="1"/>
    <x v="1"/>
    <n v="241"/>
    <n v="147"/>
    <n v="180"/>
    <n v="161.09"/>
    <n v="67.209999999999994"/>
    <n v="5"/>
    <s v="Sunny"/>
    <n v="1"/>
    <n v="67.39"/>
    <x v="1"/>
  </r>
  <r>
    <d v="2022-01-01T00:00:00"/>
    <s v="S003"/>
    <s v="P0002"/>
    <x v="2"/>
    <x v="2"/>
    <n v="115"/>
    <n v="4"/>
    <n v="169"/>
    <n v="11.11"/>
    <n v="28.2"/>
    <n v="10"/>
    <s v="Sunny"/>
    <n v="1"/>
    <n v="25.63"/>
    <x v="3"/>
  </r>
  <r>
    <d v="2022-01-01T00:00:00"/>
    <s v="S003"/>
    <s v="P0003"/>
    <x v="0"/>
    <x v="1"/>
    <n v="375"/>
    <n v="77"/>
    <n v="145"/>
    <n v="75.040000000000006"/>
    <n v="56.16"/>
    <n v="10"/>
    <s v="Sunny"/>
    <n v="1"/>
    <n v="57.16"/>
    <x v="3"/>
  </r>
  <r>
    <d v="2022-01-01T00:00:00"/>
    <s v="S003"/>
    <s v="P0004"/>
    <x v="1"/>
    <x v="1"/>
    <n v="153"/>
    <n v="31"/>
    <n v="145"/>
    <n v="42.99"/>
    <n v="89.53"/>
    <n v="20"/>
    <s v="Rainy"/>
    <n v="1"/>
    <n v="93.6"/>
    <x v="2"/>
  </r>
  <r>
    <d v="2022-01-01T00:00:00"/>
    <s v="S003"/>
    <s v="P0005"/>
    <x v="4"/>
    <x v="2"/>
    <n v="438"/>
    <n v="325"/>
    <n v="20"/>
    <n v="330.92"/>
    <n v="97.95"/>
    <n v="20"/>
    <s v="Sunny"/>
    <n v="0"/>
    <n v="93.54"/>
    <x v="2"/>
  </r>
  <r>
    <d v="2022-01-01T00:00:00"/>
    <s v="S003"/>
    <s v="P0006"/>
    <x v="0"/>
    <x v="0"/>
    <n v="456"/>
    <n v="163"/>
    <n v="22"/>
    <n v="159.16999999999999"/>
    <n v="76.37"/>
    <n v="5"/>
    <s v="Rainy"/>
    <n v="1"/>
    <n v="71.38"/>
    <x v="1"/>
  </r>
  <r>
    <d v="2022-01-01T00:00:00"/>
    <s v="S003"/>
    <s v="P0007"/>
    <x v="2"/>
    <x v="0"/>
    <n v="189"/>
    <n v="34"/>
    <n v="107"/>
    <n v="26.91"/>
    <n v="86.99"/>
    <n v="15"/>
    <s v="Rainy"/>
    <n v="1"/>
    <n v="90.5"/>
    <x v="1"/>
  </r>
  <r>
    <d v="2022-01-01T00:00:00"/>
    <s v="S003"/>
    <s v="P0008"/>
    <x v="1"/>
    <x v="0"/>
    <n v="223"/>
    <n v="47"/>
    <n v="107"/>
    <n v="45.48"/>
    <n v="66.53"/>
    <n v="15"/>
    <s v="Cloudy"/>
    <n v="1"/>
    <n v="70.459999999999994"/>
    <x v="3"/>
  </r>
  <r>
    <d v="2022-01-01T00:00:00"/>
    <s v="S003"/>
    <s v="P0009"/>
    <x v="0"/>
    <x v="1"/>
    <n v="381"/>
    <n v="15"/>
    <n v="184"/>
    <n v="30.05"/>
    <n v="74.86"/>
    <n v="15"/>
    <s v="Snowy"/>
    <n v="1"/>
    <n v="73.930000000000007"/>
    <x v="2"/>
  </r>
  <r>
    <d v="2022-01-01T00:00:00"/>
    <s v="S003"/>
    <s v="P0010"/>
    <x v="0"/>
    <x v="1"/>
    <n v="166"/>
    <n v="126"/>
    <n v="124"/>
    <n v="141.34"/>
    <n v="97.09"/>
    <n v="5"/>
    <s v="Rainy"/>
    <n v="1"/>
    <n v="95.8"/>
    <x v="1"/>
  </r>
  <r>
    <d v="2022-01-01T00:00:00"/>
    <s v="S003"/>
    <s v="P0011"/>
    <x v="1"/>
    <x v="3"/>
    <n v="292"/>
    <n v="232"/>
    <n v="155"/>
    <n v="242.02"/>
    <n v="56.19"/>
    <n v="0"/>
    <s v="Snowy"/>
    <n v="1"/>
    <n v="57.85"/>
    <x v="2"/>
  </r>
  <r>
    <d v="2022-01-01T00:00:00"/>
    <s v="S003"/>
    <s v="P0012"/>
    <x v="2"/>
    <x v="0"/>
    <n v="311"/>
    <n v="175"/>
    <n v="55"/>
    <n v="176.75"/>
    <n v="90.38"/>
    <n v="20"/>
    <s v="Cloudy"/>
    <n v="0"/>
    <n v="89.52"/>
    <x v="1"/>
  </r>
  <r>
    <d v="2022-01-01T00:00:00"/>
    <s v="S003"/>
    <s v="P0013"/>
    <x v="3"/>
    <x v="0"/>
    <n v="51"/>
    <n v="17"/>
    <n v="172"/>
    <n v="12.86"/>
    <n v="73.98"/>
    <n v="20"/>
    <s v="Cloudy"/>
    <n v="1"/>
    <n v="76.650000000000006"/>
    <x v="1"/>
  </r>
  <r>
    <d v="2022-01-01T00:00:00"/>
    <s v="S003"/>
    <s v="P0014"/>
    <x v="2"/>
    <x v="1"/>
    <n v="398"/>
    <n v="369"/>
    <n v="26"/>
    <n v="387.88"/>
    <n v="79.03"/>
    <n v="5"/>
    <s v="Rainy"/>
    <n v="0"/>
    <n v="82.51"/>
    <x v="3"/>
  </r>
  <r>
    <d v="2022-01-01T00:00:00"/>
    <s v="S003"/>
    <s v="P0015"/>
    <x v="4"/>
    <x v="2"/>
    <n v="445"/>
    <n v="260"/>
    <n v="24"/>
    <n v="266.36"/>
    <n v="27.72"/>
    <n v="5"/>
    <s v="Snowy"/>
    <n v="0"/>
    <n v="23.28"/>
    <x v="0"/>
  </r>
  <r>
    <d v="2022-01-01T00:00:00"/>
    <s v="S003"/>
    <s v="P0016"/>
    <x v="0"/>
    <x v="1"/>
    <n v="487"/>
    <n v="347"/>
    <n v="93"/>
    <n v="349.36"/>
    <n v="98.18"/>
    <n v="15"/>
    <s v="Rainy"/>
    <n v="0"/>
    <n v="99.58"/>
    <x v="2"/>
  </r>
  <r>
    <d v="2022-01-01T00:00:00"/>
    <s v="S003"/>
    <s v="P0017"/>
    <x v="4"/>
    <x v="3"/>
    <n v="429"/>
    <n v="150"/>
    <n v="168"/>
    <n v="157.82"/>
    <n v="27.1"/>
    <n v="5"/>
    <s v="Cloudy"/>
    <n v="1"/>
    <n v="27.4"/>
    <x v="3"/>
  </r>
  <r>
    <d v="2022-01-01T00:00:00"/>
    <s v="S003"/>
    <s v="P0018"/>
    <x v="1"/>
    <x v="2"/>
    <n v="204"/>
    <n v="70"/>
    <n v="170"/>
    <n v="83.01"/>
    <n v="97.08"/>
    <n v="15"/>
    <s v="Snowy"/>
    <n v="1"/>
    <n v="94.88"/>
    <x v="2"/>
  </r>
  <r>
    <d v="2022-01-01T00:00:00"/>
    <s v="S003"/>
    <s v="P0019"/>
    <x v="4"/>
    <x v="3"/>
    <n v="330"/>
    <n v="249"/>
    <n v="37"/>
    <n v="268.25"/>
    <n v="26.71"/>
    <n v="15"/>
    <s v="Cloudy"/>
    <n v="1"/>
    <n v="24.81"/>
    <x v="1"/>
  </r>
  <r>
    <d v="2022-01-01T00:00:00"/>
    <s v="S003"/>
    <s v="P0020"/>
    <x v="2"/>
    <x v="0"/>
    <n v="431"/>
    <n v="370"/>
    <n v="99"/>
    <n v="387.57"/>
    <n v="95.85"/>
    <n v="20"/>
    <s v="Cloudy"/>
    <n v="1"/>
    <n v="95.7"/>
    <x v="3"/>
  </r>
  <r>
    <d v="2022-01-01T00:00:00"/>
    <s v="S004"/>
    <s v="P0001"/>
    <x v="1"/>
    <x v="1"/>
    <n v="477"/>
    <n v="271"/>
    <n v="66"/>
    <n v="286.64999999999998"/>
    <n v="15.62"/>
    <n v="15"/>
    <s v="Sunny"/>
    <n v="0"/>
    <n v="16.09"/>
    <x v="2"/>
  </r>
  <r>
    <d v="2022-01-01T00:00:00"/>
    <s v="S004"/>
    <s v="P0002"/>
    <x v="4"/>
    <x v="0"/>
    <n v="462"/>
    <n v="180"/>
    <n v="183"/>
    <n v="176.06"/>
    <n v="41.13"/>
    <n v="5"/>
    <s v="Sunny"/>
    <n v="0"/>
    <n v="45.05"/>
    <x v="0"/>
  </r>
  <r>
    <d v="2022-01-01T00:00:00"/>
    <s v="S004"/>
    <s v="P0003"/>
    <x v="4"/>
    <x v="2"/>
    <n v="446"/>
    <n v="344"/>
    <n v="27"/>
    <n v="352.93"/>
    <n v="89.32"/>
    <n v="20"/>
    <s v="Cloudy"/>
    <n v="0"/>
    <n v="93"/>
    <x v="0"/>
  </r>
  <r>
    <d v="2022-01-01T00:00:00"/>
    <s v="S004"/>
    <s v="P0004"/>
    <x v="0"/>
    <x v="2"/>
    <n v="437"/>
    <n v="0"/>
    <n v="160"/>
    <n v="-2.4"/>
    <n v="87.23"/>
    <n v="10"/>
    <s v="Sunny"/>
    <n v="0"/>
    <n v="90.36"/>
    <x v="3"/>
  </r>
  <r>
    <d v="2022-01-01T00:00:00"/>
    <s v="S004"/>
    <s v="P0005"/>
    <x v="0"/>
    <x v="0"/>
    <n v="397"/>
    <n v="200"/>
    <n v="172"/>
    <n v="196.57"/>
    <n v="81.72"/>
    <n v="0"/>
    <s v="Snowy"/>
    <n v="1"/>
    <n v="85.22"/>
    <x v="3"/>
  </r>
  <r>
    <d v="2022-01-01T00:00:00"/>
    <s v="S004"/>
    <s v="P0006"/>
    <x v="2"/>
    <x v="3"/>
    <n v="470"/>
    <n v="382"/>
    <n v="195"/>
    <n v="396.4"/>
    <n v="41.35"/>
    <n v="10"/>
    <s v="Snowy"/>
    <n v="0"/>
    <n v="39.86"/>
    <x v="1"/>
  </r>
  <r>
    <d v="2022-01-01T00:00:00"/>
    <s v="S004"/>
    <s v="P0007"/>
    <x v="2"/>
    <x v="2"/>
    <n v="264"/>
    <n v="190"/>
    <n v="139"/>
    <n v="197.45"/>
    <n v="67.260000000000005"/>
    <n v="20"/>
    <s v="Cloudy"/>
    <n v="0"/>
    <n v="64.78"/>
    <x v="1"/>
  </r>
  <r>
    <d v="2022-01-01T00:00:00"/>
    <s v="S004"/>
    <s v="P0008"/>
    <x v="3"/>
    <x v="1"/>
    <n v="250"/>
    <n v="51"/>
    <n v="137"/>
    <n v="54.98"/>
    <n v="85.88"/>
    <n v="20"/>
    <s v="Snowy"/>
    <n v="1"/>
    <n v="86.14"/>
    <x v="2"/>
  </r>
  <r>
    <d v="2022-01-01T00:00:00"/>
    <s v="S004"/>
    <s v="P0009"/>
    <x v="3"/>
    <x v="0"/>
    <n v="63"/>
    <n v="40"/>
    <n v="73"/>
    <n v="51.78"/>
    <n v="59.23"/>
    <n v="10"/>
    <s v="Rainy"/>
    <n v="1"/>
    <n v="61.1"/>
    <x v="1"/>
  </r>
  <r>
    <d v="2022-01-01T00:00:00"/>
    <s v="S004"/>
    <s v="P0010"/>
    <x v="0"/>
    <x v="3"/>
    <n v="447"/>
    <n v="104"/>
    <n v="96"/>
    <n v="115.03"/>
    <n v="33.479999999999997"/>
    <n v="15"/>
    <s v="Cloudy"/>
    <n v="0"/>
    <n v="37.15"/>
    <x v="1"/>
  </r>
  <r>
    <d v="2022-01-01T00:00:00"/>
    <s v="S004"/>
    <s v="P0011"/>
    <x v="2"/>
    <x v="2"/>
    <n v="205"/>
    <n v="46"/>
    <n v="27"/>
    <n v="46.65"/>
    <n v="54.84"/>
    <n v="0"/>
    <s v="Sunny"/>
    <n v="1"/>
    <n v="57.76"/>
    <x v="3"/>
  </r>
  <r>
    <d v="2022-01-01T00:00:00"/>
    <s v="S004"/>
    <s v="P0012"/>
    <x v="2"/>
    <x v="0"/>
    <n v="349"/>
    <n v="9"/>
    <n v="165"/>
    <n v="0.95"/>
    <n v="14.25"/>
    <n v="5"/>
    <s v="Rainy"/>
    <n v="1"/>
    <n v="18.559999999999999"/>
    <x v="3"/>
  </r>
  <r>
    <d v="2022-01-01T00:00:00"/>
    <s v="S004"/>
    <s v="P0013"/>
    <x v="3"/>
    <x v="3"/>
    <n v="191"/>
    <n v="56"/>
    <n v="65"/>
    <n v="54.47"/>
    <n v="61.81"/>
    <n v="0"/>
    <s v="Sunny"/>
    <n v="0"/>
    <n v="63.92"/>
    <x v="0"/>
  </r>
  <r>
    <d v="2022-01-01T00:00:00"/>
    <s v="S004"/>
    <s v="P0014"/>
    <x v="2"/>
    <x v="2"/>
    <n v="406"/>
    <n v="63"/>
    <n v="139"/>
    <n v="69.73"/>
    <n v="66.94"/>
    <n v="10"/>
    <s v="Snowy"/>
    <n v="1"/>
    <n v="68.47"/>
    <x v="2"/>
  </r>
  <r>
    <d v="2022-01-01T00:00:00"/>
    <s v="S004"/>
    <s v="P0015"/>
    <x v="4"/>
    <x v="1"/>
    <n v="228"/>
    <n v="181"/>
    <n v="127"/>
    <n v="171.96"/>
    <n v="60.54"/>
    <n v="5"/>
    <s v="Cloudy"/>
    <n v="0"/>
    <n v="65.27"/>
    <x v="0"/>
  </r>
  <r>
    <d v="2022-01-01T00:00:00"/>
    <s v="S004"/>
    <s v="P0016"/>
    <x v="0"/>
    <x v="1"/>
    <n v="263"/>
    <n v="94"/>
    <n v="24"/>
    <n v="98.05"/>
    <n v="94.26"/>
    <n v="15"/>
    <s v="Rainy"/>
    <n v="0"/>
    <n v="96.74"/>
    <x v="1"/>
  </r>
  <r>
    <d v="2022-01-01T00:00:00"/>
    <s v="S004"/>
    <s v="P0017"/>
    <x v="2"/>
    <x v="1"/>
    <n v="203"/>
    <n v="46"/>
    <n v="75"/>
    <n v="55.12"/>
    <n v="25.55"/>
    <n v="0"/>
    <s v="Rainy"/>
    <n v="0"/>
    <n v="28.07"/>
    <x v="2"/>
  </r>
  <r>
    <d v="2022-01-01T00:00:00"/>
    <s v="S004"/>
    <s v="P0018"/>
    <x v="0"/>
    <x v="2"/>
    <n v="143"/>
    <n v="8"/>
    <n v="27"/>
    <n v="27.3"/>
    <n v="16.73"/>
    <n v="5"/>
    <s v="Cloudy"/>
    <n v="1"/>
    <n v="18.79"/>
    <x v="3"/>
  </r>
  <r>
    <d v="2022-01-01T00:00:00"/>
    <s v="S004"/>
    <s v="P0019"/>
    <x v="0"/>
    <x v="2"/>
    <n v="359"/>
    <n v="172"/>
    <n v="125"/>
    <n v="181.25"/>
    <n v="71.2"/>
    <n v="15"/>
    <s v="Rainy"/>
    <n v="1"/>
    <n v="73.849999999999994"/>
    <x v="3"/>
  </r>
  <r>
    <d v="2022-01-01T00:00:00"/>
    <s v="S004"/>
    <s v="P0020"/>
    <x v="4"/>
    <x v="2"/>
    <n v="211"/>
    <n v="68"/>
    <n v="37"/>
    <n v="86.27"/>
    <n v="11.5"/>
    <n v="20"/>
    <s v="Snowy"/>
    <n v="0"/>
    <n v="9.26"/>
    <x v="2"/>
  </r>
  <r>
    <d v="2022-01-01T00:00:00"/>
    <s v="S005"/>
    <s v="P0001"/>
    <x v="1"/>
    <x v="2"/>
    <n v="111"/>
    <n v="77"/>
    <n v="60"/>
    <n v="83.47"/>
    <n v="70.33"/>
    <n v="10"/>
    <s v="Cloudy"/>
    <n v="0"/>
    <n v="70.290000000000006"/>
    <x v="2"/>
  </r>
  <r>
    <d v="2022-01-01T00:00:00"/>
    <s v="S005"/>
    <s v="P0002"/>
    <x v="4"/>
    <x v="2"/>
    <n v="415"/>
    <n v="298"/>
    <n v="107"/>
    <n v="292.95999999999998"/>
    <n v="57.15"/>
    <n v="5"/>
    <s v="Snowy"/>
    <n v="1"/>
    <n v="60.71"/>
    <x v="0"/>
  </r>
  <r>
    <d v="2022-01-01T00:00:00"/>
    <s v="S005"/>
    <s v="P0003"/>
    <x v="2"/>
    <x v="0"/>
    <n v="384"/>
    <n v="64"/>
    <n v="26"/>
    <n v="76.02"/>
    <n v="36.17"/>
    <n v="5"/>
    <s v="Sunny"/>
    <n v="0"/>
    <n v="40.93"/>
    <x v="3"/>
  </r>
  <r>
    <d v="2022-01-01T00:00:00"/>
    <s v="S005"/>
    <s v="P0004"/>
    <x v="3"/>
    <x v="2"/>
    <n v="436"/>
    <n v="300"/>
    <n v="174"/>
    <n v="292.04000000000002"/>
    <n v="50.77"/>
    <n v="15"/>
    <s v="Snowy"/>
    <n v="1"/>
    <n v="54.7"/>
    <x v="3"/>
  </r>
  <r>
    <d v="2022-01-01T00:00:00"/>
    <s v="S005"/>
    <s v="P0005"/>
    <x v="4"/>
    <x v="2"/>
    <n v="180"/>
    <n v="21"/>
    <n v="47"/>
    <n v="38.630000000000003"/>
    <n v="92.86"/>
    <n v="15"/>
    <s v="Rainy"/>
    <n v="1"/>
    <n v="96.3"/>
    <x v="2"/>
  </r>
  <r>
    <d v="2022-01-01T00:00:00"/>
    <s v="S005"/>
    <s v="P0006"/>
    <x v="0"/>
    <x v="0"/>
    <n v="185"/>
    <n v="176"/>
    <n v="163"/>
    <n v="174.06"/>
    <n v="60.76"/>
    <n v="20"/>
    <s v="Cloudy"/>
    <n v="0"/>
    <n v="61.15"/>
    <x v="1"/>
  </r>
  <r>
    <d v="2022-01-01T00:00:00"/>
    <s v="S005"/>
    <s v="P0007"/>
    <x v="4"/>
    <x v="1"/>
    <n v="292"/>
    <n v="131"/>
    <n v="140"/>
    <n v="122.6"/>
    <n v="46.47"/>
    <n v="15"/>
    <s v="Snowy"/>
    <n v="0"/>
    <n v="50.84"/>
    <x v="1"/>
  </r>
  <r>
    <d v="2022-01-01T00:00:00"/>
    <s v="S005"/>
    <s v="P0008"/>
    <x v="1"/>
    <x v="2"/>
    <n v="478"/>
    <n v="317"/>
    <n v="197"/>
    <n v="328.64"/>
    <n v="34.08"/>
    <n v="5"/>
    <s v="Snowy"/>
    <n v="1"/>
    <n v="30.44"/>
    <x v="2"/>
  </r>
  <r>
    <d v="2022-01-01T00:00:00"/>
    <s v="S005"/>
    <s v="P0009"/>
    <x v="0"/>
    <x v="2"/>
    <n v="182"/>
    <n v="97"/>
    <n v="27"/>
    <n v="92.62"/>
    <n v="87.81"/>
    <n v="5"/>
    <s v="Snowy"/>
    <n v="0"/>
    <n v="85.45"/>
    <x v="3"/>
  </r>
  <r>
    <d v="2022-01-01T00:00:00"/>
    <s v="S005"/>
    <s v="P0010"/>
    <x v="4"/>
    <x v="3"/>
    <n v="87"/>
    <n v="8"/>
    <n v="141"/>
    <n v="14.38"/>
    <n v="37.04"/>
    <n v="10"/>
    <s v="Rainy"/>
    <n v="1"/>
    <n v="36.869999999999997"/>
    <x v="1"/>
  </r>
  <r>
    <d v="2022-01-01T00:00:00"/>
    <s v="S005"/>
    <s v="P0011"/>
    <x v="0"/>
    <x v="2"/>
    <n v="427"/>
    <n v="104"/>
    <n v="128"/>
    <n v="94.65"/>
    <n v="54.12"/>
    <n v="10"/>
    <s v="Rainy"/>
    <n v="1"/>
    <n v="53.03"/>
    <x v="1"/>
  </r>
  <r>
    <d v="2022-01-01T00:00:00"/>
    <s v="S005"/>
    <s v="P0012"/>
    <x v="2"/>
    <x v="2"/>
    <n v="245"/>
    <n v="87"/>
    <n v="188"/>
    <n v="90.59"/>
    <n v="67.64"/>
    <n v="15"/>
    <s v="Sunny"/>
    <n v="0"/>
    <n v="63.53"/>
    <x v="1"/>
  </r>
  <r>
    <d v="2022-01-01T00:00:00"/>
    <s v="S005"/>
    <s v="P0013"/>
    <x v="3"/>
    <x v="1"/>
    <n v="317"/>
    <n v="238"/>
    <n v="95"/>
    <n v="256.57"/>
    <n v="82.18"/>
    <n v="5"/>
    <s v="Cloudy"/>
    <n v="0"/>
    <n v="87.09"/>
    <x v="1"/>
  </r>
  <r>
    <d v="2022-01-01T00:00:00"/>
    <s v="S005"/>
    <s v="P0014"/>
    <x v="2"/>
    <x v="1"/>
    <n v="325"/>
    <n v="171"/>
    <n v="43"/>
    <n v="188.55"/>
    <n v="42.62"/>
    <n v="20"/>
    <s v="Cloudy"/>
    <n v="1"/>
    <n v="42.01"/>
    <x v="0"/>
  </r>
  <r>
    <d v="2022-01-01T00:00:00"/>
    <s v="S005"/>
    <s v="P0015"/>
    <x v="3"/>
    <x v="2"/>
    <n v="411"/>
    <n v="250"/>
    <n v="119"/>
    <n v="260.79000000000002"/>
    <n v="11.54"/>
    <n v="10"/>
    <s v="Cloudy"/>
    <n v="0"/>
    <n v="11.27"/>
    <x v="3"/>
  </r>
  <r>
    <d v="2022-01-01T00:00:00"/>
    <s v="S005"/>
    <s v="P0016"/>
    <x v="4"/>
    <x v="1"/>
    <n v="71"/>
    <n v="11"/>
    <n v="32"/>
    <n v="1.85"/>
    <n v="16.3"/>
    <n v="5"/>
    <s v="Sunny"/>
    <n v="0"/>
    <n v="17.98"/>
    <x v="2"/>
  </r>
  <r>
    <d v="2022-01-01T00:00:00"/>
    <s v="S005"/>
    <s v="P0017"/>
    <x v="2"/>
    <x v="3"/>
    <n v="388"/>
    <n v="371"/>
    <n v="98"/>
    <n v="390.04"/>
    <n v="98.31"/>
    <n v="15"/>
    <s v="Sunny"/>
    <n v="1"/>
    <n v="102.42"/>
    <x v="3"/>
  </r>
  <r>
    <d v="2022-01-01T00:00:00"/>
    <s v="S005"/>
    <s v="P0018"/>
    <x v="3"/>
    <x v="2"/>
    <n v="161"/>
    <n v="107"/>
    <n v="66"/>
    <n v="103.97"/>
    <n v="48.96"/>
    <n v="10"/>
    <s v="Snowy"/>
    <n v="1"/>
    <n v="50.03"/>
    <x v="3"/>
  </r>
  <r>
    <d v="2022-01-01T00:00:00"/>
    <s v="S005"/>
    <s v="P0019"/>
    <x v="0"/>
    <x v="1"/>
    <n v="235"/>
    <n v="106"/>
    <n v="124"/>
    <n v="119.33"/>
    <n v="88.22"/>
    <n v="5"/>
    <s v="Rainy"/>
    <n v="0"/>
    <n v="91.16"/>
    <x v="3"/>
  </r>
  <r>
    <d v="2022-01-01T00:00:00"/>
    <s v="S005"/>
    <s v="P0020"/>
    <x v="2"/>
    <x v="1"/>
    <n v="108"/>
    <n v="101"/>
    <n v="52"/>
    <n v="105.92"/>
    <n v="11.04"/>
    <n v="10"/>
    <s v="Snowy"/>
    <n v="1"/>
    <n v="9.14"/>
    <x v="0"/>
  </r>
  <r>
    <d v="2022-01-02T00:00:00"/>
    <s v="S001"/>
    <s v="P0001"/>
    <x v="0"/>
    <x v="2"/>
    <n v="116"/>
    <n v="81"/>
    <n v="104"/>
    <n v="92.94"/>
    <n v="27.95"/>
    <n v="10"/>
    <s v="Cloudy"/>
    <n v="0"/>
    <n v="30.89"/>
    <x v="3"/>
  </r>
  <r>
    <d v="2022-01-02T00:00:00"/>
    <s v="S001"/>
    <s v="P0002"/>
    <x v="4"/>
    <x v="2"/>
    <n v="416"/>
    <n v="163"/>
    <n v="79"/>
    <n v="171.6"/>
    <n v="19.78"/>
    <n v="15"/>
    <s v="Cloudy"/>
    <n v="0"/>
    <n v="18.760000000000002"/>
    <x v="3"/>
  </r>
  <r>
    <d v="2022-01-02T00:00:00"/>
    <s v="S001"/>
    <s v="P0003"/>
    <x v="4"/>
    <x v="1"/>
    <n v="488"/>
    <n v="464"/>
    <n v="163"/>
    <n v="463.12"/>
    <n v="70.989999999999995"/>
    <n v="10"/>
    <s v="Snowy"/>
    <n v="0"/>
    <n v="72.930000000000007"/>
    <x v="1"/>
  </r>
  <r>
    <d v="2022-01-02T00:00:00"/>
    <s v="S001"/>
    <s v="P0004"/>
    <x v="0"/>
    <x v="3"/>
    <n v="248"/>
    <n v="116"/>
    <n v="107"/>
    <n v="133.91999999999999"/>
    <n v="49.56"/>
    <n v="5"/>
    <s v="Snowy"/>
    <n v="0"/>
    <n v="50.46"/>
    <x v="1"/>
  </r>
  <r>
    <d v="2022-01-02T00:00:00"/>
    <s v="S001"/>
    <s v="P0005"/>
    <x v="2"/>
    <x v="3"/>
    <n v="238"/>
    <n v="200"/>
    <n v="40"/>
    <n v="204.3"/>
    <n v="23.76"/>
    <n v="15"/>
    <s v="Sunny"/>
    <n v="1"/>
    <n v="19.190000000000001"/>
    <x v="1"/>
  </r>
  <r>
    <d v="2022-01-02T00:00:00"/>
    <s v="S001"/>
    <s v="P0006"/>
    <x v="3"/>
    <x v="3"/>
    <n v="471"/>
    <n v="58"/>
    <n v="32"/>
    <n v="51.57"/>
    <n v="47.56"/>
    <n v="0"/>
    <s v="Snowy"/>
    <n v="1"/>
    <n v="46.82"/>
    <x v="1"/>
  </r>
  <r>
    <d v="2022-01-02T00:00:00"/>
    <s v="S001"/>
    <s v="P0007"/>
    <x v="2"/>
    <x v="0"/>
    <n v="178"/>
    <n v="56"/>
    <n v="149"/>
    <n v="60.3"/>
    <n v="17.100000000000001"/>
    <n v="5"/>
    <s v="Snowy"/>
    <n v="1"/>
    <n v="17"/>
    <x v="0"/>
  </r>
  <r>
    <d v="2022-01-02T00:00:00"/>
    <s v="S001"/>
    <s v="P0008"/>
    <x v="4"/>
    <x v="3"/>
    <n v="92"/>
    <n v="74"/>
    <n v="121"/>
    <n v="67.040000000000006"/>
    <n v="58.89"/>
    <n v="5"/>
    <s v="Cloudy"/>
    <n v="0"/>
    <n v="61.56"/>
    <x v="0"/>
  </r>
  <r>
    <d v="2022-01-02T00:00:00"/>
    <s v="S001"/>
    <s v="P0009"/>
    <x v="1"/>
    <x v="1"/>
    <n v="99"/>
    <n v="54"/>
    <n v="182"/>
    <n v="70.599999999999994"/>
    <n v="99.76"/>
    <n v="20"/>
    <s v="Cloudy"/>
    <n v="0"/>
    <n v="95.61"/>
    <x v="3"/>
  </r>
  <r>
    <d v="2022-01-02T00:00:00"/>
    <s v="S001"/>
    <s v="P0010"/>
    <x v="4"/>
    <x v="0"/>
    <n v="171"/>
    <n v="39"/>
    <n v="163"/>
    <n v="47.8"/>
    <n v="11.44"/>
    <n v="5"/>
    <s v="Sunny"/>
    <n v="0"/>
    <n v="12.71"/>
    <x v="1"/>
  </r>
  <r>
    <d v="2022-01-02T00:00:00"/>
    <s v="S001"/>
    <s v="P0011"/>
    <x v="3"/>
    <x v="3"/>
    <n v="215"/>
    <n v="12"/>
    <n v="173"/>
    <n v="16.920000000000002"/>
    <n v="53.84"/>
    <n v="0"/>
    <s v="Cloudy"/>
    <n v="1"/>
    <n v="53.79"/>
    <x v="3"/>
  </r>
  <r>
    <d v="2022-01-02T00:00:00"/>
    <s v="S001"/>
    <s v="P0012"/>
    <x v="3"/>
    <x v="3"/>
    <n v="281"/>
    <n v="56"/>
    <n v="187"/>
    <n v="70.709999999999994"/>
    <n v="57.84"/>
    <n v="5"/>
    <s v="Snowy"/>
    <n v="1"/>
    <n v="60.99"/>
    <x v="1"/>
  </r>
  <r>
    <d v="2022-01-02T00:00:00"/>
    <s v="S001"/>
    <s v="P0013"/>
    <x v="1"/>
    <x v="0"/>
    <n v="455"/>
    <n v="31"/>
    <n v="124"/>
    <n v="44.46"/>
    <n v="35.51"/>
    <n v="15"/>
    <s v="Cloudy"/>
    <n v="1"/>
    <n v="31.06"/>
    <x v="0"/>
  </r>
  <r>
    <d v="2022-01-02T00:00:00"/>
    <s v="S001"/>
    <s v="P0014"/>
    <x v="2"/>
    <x v="2"/>
    <n v="84"/>
    <n v="25"/>
    <n v="20"/>
    <n v="23.36"/>
    <n v="31.41"/>
    <n v="0"/>
    <s v="Cloudy"/>
    <n v="1"/>
    <n v="28.6"/>
    <x v="3"/>
  </r>
  <r>
    <d v="2022-01-02T00:00:00"/>
    <s v="S001"/>
    <s v="P0015"/>
    <x v="2"/>
    <x v="3"/>
    <n v="246"/>
    <n v="198"/>
    <n v="67"/>
    <n v="203.23"/>
    <n v="28.06"/>
    <n v="20"/>
    <s v="Cloudy"/>
    <n v="1"/>
    <n v="30.29"/>
    <x v="2"/>
  </r>
  <r>
    <d v="2022-01-02T00:00:00"/>
    <s v="S001"/>
    <s v="P0016"/>
    <x v="2"/>
    <x v="2"/>
    <n v="399"/>
    <n v="77"/>
    <n v="147"/>
    <n v="67.55"/>
    <n v="35.67"/>
    <n v="15"/>
    <s v="Snowy"/>
    <n v="0"/>
    <n v="38.020000000000003"/>
    <x v="1"/>
  </r>
  <r>
    <d v="2022-01-02T00:00:00"/>
    <s v="S001"/>
    <s v="P0017"/>
    <x v="3"/>
    <x v="2"/>
    <n v="242"/>
    <n v="165"/>
    <n v="105"/>
    <n v="181.86"/>
    <n v="28.18"/>
    <n v="5"/>
    <s v="Cloudy"/>
    <n v="0"/>
    <n v="27.5"/>
    <x v="0"/>
  </r>
  <r>
    <d v="2022-01-02T00:00:00"/>
    <s v="S001"/>
    <s v="P0018"/>
    <x v="1"/>
    <x v="0"/>
    <n v="478"/>
    <n v="42"/>
    <n v="168"/>
    <n v="55.16"/>
    <n v="74.42"/>
    <n v="5"/>
    <s v="Snowy"/>
    <n v="0"/>
    <n v="69.67"/>
    <x v="1"/>
  </r>
  <r>
    <d v="2022-01-02T00:00:00"/>
    <s v="S001"/>
    <s v="P0019"/>
    <x v="3"/>
    <x v="1"/>
    <n v="156"/>
    <n v="8"/>
    <n v="67"/>
    <n v="24.41"/>
    <n v="91.95"/>
    <n v="5"/>
    <s v="Cloudy"/>
    <n v="1"/>
    <n v="87.43"/>
    <x v="3"/>
  </r>
  <r>
    <d v="2022-01-02T00:00:00"/>
    <s v="S001"/>
    <s v="P0020"/>
    <x v="2"/>
    <x v="0"/>
    <n v="221"/>
    <n v="174"/>
    <n v="168"/>
    <n v="187.49"/>
    <n v="97.88"/>
    <n v="0"/>
    <s v="Snowy"/>
    <n v="0"/>
    <n v="99.5"/>
    <x v="0"/>
  </r>
  <r>
    <d v="2022-01-02T00:00:00"/>
    <s v="S002"/>
    <s v="P0001"/>
    <x v="2"/>
    <x v="2"/>
    <n v="402"/>
    <n v="343"/>
    <n v="141"/>
    <n v="339.04"/>
    <n v="66.569999999999993"/>
    <n v="20"/>
    <s v="Rainy"/>
    <n v="1"/>
    <n v="63.92"/>
    <x v="1"/>
  </r>
  <r>
    <d v="2022-01-02T00:00:00"/>
    <s v="S002"/>
    <s v="P0002"/>
    <x v="3"/>
    <x v="2"/>
    <n v="132"/>
    <n v="71"/>
    <n v="60"/>
    <n v="82.44"/>
    <n v="90.36"/>
    <n v="5"/>
    <s v="Rainy"/>
    <n v="0"/>
    <n v="86.73"/>
    <x v="2"/>
  </r>
  <r>
    <d v="2022-01-02T00:00:00"/>
    <s v="S002"/>
    <s v="P0003"/>
    <x v="0"/>
    <x v="2"/>
    <n v="218"/>
    <n v="157"/>
    <n v="31"/>
    <n v="153.41999999999999"/>
    <n v="92.24"/>
    <n v="5"/>
    <s v="Snowy"/>
    <n v="1"/>
    <n v="89.57"/>
    <x v="0"/>
  </r>
  <r>
    <d v="2022-01-02T00:00:00"/>
    <s v="S002"/>
    <s v="P0004"/>
    <x v="0"/>
    <x v="1"/>
    <n v="131"/>
    <n v="88"/>
    <n v="109"/>
    <n v="100.61"/>
    <n v="68.709999999999994"/>
    <n v="0"/>
    <s v="Snowy"/>
    <n v="0"/>
    <n v="69.34"/>
    <x v="3"/>
  </r>
  <r>
    <d v="2022-01-02T00:00:00"/>
    <s v="S002"/>
    <s v="P0005"/>
    <x v="0"/>
    <x v="0"/>
    <n v="93"/>
    <n v="64"/>
    <n v="128"/>
    <n v="57.53"/>
    <n v="87.22"/>
    <n v="5"/>
    <s v="Cloudy"/>
    <n v="1"/>
    <n v="90.59"/>
    <x v="3"/>
  </r>
  <r>
    <d v="2022-01-02T00:00:00"/>
    <s v="S002"/>
    <s v="P0006"/>
    <x v="0"/>
    <x v="3"/>
    <n v="344"/>
    <n v="273"/>
    <n v="154"/>
    <n v="273.10000000000002"/>
    <n v="79.38"/>
    <n v="0"/>
    <s v="Rainy"/>
    <n v="0"/>
    <n v="77.28"/>
    <x v="0"/>
  </r>
  <r>
    <d v="2022-01-02T00:00:00"/>
    <s v="S002"/>
    <s v="P0007"/>
    <x v="0"/>
    <x v="0"/>
    <n v="340"/>
    <n v="247"/>
    <n v="148"/>
    <n v="264.18"/>
    <n v="17.41"/>
    <n v="15"/>
    <s v="Snowy"/>
    <n v="0"/>
    <n v="13.57"/>
    <x v="1"/>
  </r>
  <r>
    <d v="2022-01-02T00:00:00"/>
    <s v="S002"/>
    <s v="P0008"/>
    <x v="2"/>
    <x v="0"/>
    <n v="241"/>
    <n v="42"/>
    <n v="187"/>
    <n v="46.32"/>
    <n v="14.8"/>
    <n v="15"/>
    <s v="Sunny"/>
    <n v="1"/>
    <n v="13.94"/>
    <x v="3"/>
  </r>
  <r>
    <d v="2022-01-02T00:00:00"/>
    <s v="S002"/>
    <s v="P0009"/>
    <x v="2"/>
    <x v="0"/>
    <n v="296"/>
    <n v="197"/>
    <n v="157"/>
    <n v="195.61"/>
    <n v="30.5"/>
    <n v="0"/>
    <s v="Sunny"/>
    <n v="0"/>
    <n v="28.86"/>
    <x v="3"/>
  </r>
  <r>
    <d v="2022-01-02T00:00:00"/>
    <s v="S002"/>
    <s v="P0010"/>
    <x v="0"/>
    <x v="2"/>
    <n v="472"/>
    <n v="374"/>
    <n v="65"/>
    <n v="387.41"/>
    <n v="27.84"/>
    <n v="15"/>
    <s v="Cloudy"/>
    <n v="1"/>
    <n v="32"/>
    <x v="3"/>
  </r>
  <r>
    <d v="2022-01-02T00:00:00"/>
    <s v="S002"/>
    <s v="P0011"/>
    <x v="3"/>
    <x v="3"/>
    <n v="308"/>
    <n v="154"/>
    <n v="22"/>
    <n v="169.13"/>
    <n v="88.62"/>
    <n v="0"/>
    <s v="Cloudy"/>
    <n v="0"/>
    <n v="86.3"/>
    <x v="2"/>
  </r>
  <r>
    <d v="2022-01-02T00:00:00"/>
    <s v="S002"/>
    <s v="P0012"/>
    <x v="1"/>
    <x v="0"/>
    <n v="434"/>
    <n v="236"/>
    <n v="30"/>
    <n v="239.09"/>
    <n v="82.35"/>
    <n v="20"/>
    <s v="Rainy"/>
    <n v="0"/>
    <n v="83.13"/>
    <x v="0"/>
  </r>
  <r>
    <d v="2022-01-02T00:00:00"/>
    <s v="S002"/>
    <s v="P0013"/>
    <x v="1"/>
    <x v="0"/>
    <n v="287"/>
    <n v="278"/>
    <n v="92"/>
    <n v="279.91000000000003"/>
    <n v="92.57"/>
    <n v="10"/>
    <s v="Sunny"/>
    <n v="1"/>
    <n v="97.09"/>
    <x v="1"/>
  </r>
  <r>
    <d v="2022-01-02T00:00:00"/>
    <s v="S002"/>
    <s v="P0014"/>
    <x v="3"/>
    <x v="2"/>
    <n v="190"/>
    <n v="27"/>
    <n v="134"/>
    <n v="31.53"/>
    <n v="94.38"/>
    <n v="5"/>
    <s v="Rainy"/>
    <n v="0"/>
    <n v="89.47"/>
    <x v="0"/>
  </r>
  <r>
    <d v="2022-01-02T00:00:00"/>
    <s v="S002"/>
    <s v="P0015"/>
    <x v="1"/>
    <x v="0"/>
    <n v="353"/>
    <n v="106"/>
    <n v="191"/>
    <n v="110.49"/>
    <n v="70.59"/>
    <n v="0"/>
    <s v="Cloudy"/>
    <n v="1"/>
    <n v="75.27"/>
    <x v="2"/>
  </r>
  <r>
    <d v="2022-01-02T00:00:00"/>
    <s v="S002"/>
    <s v="P0016"/>
    <x v="1"/>
    <x v="2"/>
    <n v="210"/>
    <n v="154"/>
    <n v="70"/>
    <n v="166.83"/>
    <n v="63.13"/>
    <n v="10"/>
    <s v="Sunny"/>
    <n v="0"/>
    <n v="67.23"/>
    <x v="0"/>
  </r>
  <r>
    <d v="2022-01-02T00:00:00"/>
    <s v="S002"/>
    <s v="P0017"/>
    <x v="4"/>
    <x v="2"/>
    <n v="193"/>
    <n v="176"/>
    <n v="38"/>
    <n v="174.49"/>
    <n v="46.04"/>
    <n v="5"/>
    <s v="Rainy"/>
    <n v="1"/>
    <n v="41.4"/>
    <x v="0"/>
  </r>
  <r>
    <d v="2022-01-02T00:00:00"/>
    <s v="S002"/>
    <s v="P0018"/>
    <x v="0"/>
    <x v="3"/>
    <n v="124"/>
    <n v="124"/>
    <n v="46"/>
    <n v="116.05"/>
    <n v="21.07"/>
    <n v="10"/>
    <s v="Sunny"/>
    <n v="0"/>
    <n v="21.71"/>
    <x v="0"/>
  </r>
  <r>
    <d v="2022-01-02T00:00:00"/>
    <s v="S002"/>
    <s v="P0019"/>
    <x v="1"/>
    <x v="3"/>
    <n v="492"/>
    <n v="479"/>
    <n v="132"/>
    <n v="469.74"/>
    <n v="79.11"/>
    <n v="0"/>
    <s v="Cloudy"/>
    <n v="0"/>
    <n v="80.06"/>
    <x v="2"/>
  </r>
  <r>
    <d v="2022-01-02T00:00:00"/>
    <s v="S002"/>
    <s v="P0020"/>
    <x v="4"/>
    <x v="1"/>
    <n v="222"/>
    <n v="78"/>
    <n v="42"/>
    <n v="76.55"/>
    <n v="64.989999999999995"/>
    <n v="0"/>
    <s v="Sunny"/>
    <n v="1"/>
    <n v="65.400000000000006"/>
    <x v="1"/>
  </r>
  <r>
    <d v="2022-01-02T00:00:00"/>
    <s v="S003"/>
    <s v="P0001"/>
    <x v="1"/>
    <x v="2"/>
    <n v="277"/>
    <n v="114"/>
    <n v="40"/>
    <n v="132.41"/>
    <n v="73.48"/>
    <n v="10"/>
    <s v="Cloudy"/>
    <n v="0"/>
    <n v="72.55"/>
    <x v="0"/>
  </r>
  <r>
    <d v="2022-01-02T00:00:00"/>
    <s v="S003"/>
    <s v="P0002"/>
    <x v="0"/>
    <x v="3"/>
    <n v="175"/>
    <n v="2"/>
    <n v="140"/>
    <n v="-3.4"/>
    <n v="87.5"/>
    <n v="0"/>
    <s v="Rainy"/>
    <n v="0"/>
    <n v="91.2"/>
    <x v="0"/>
  </r>
  <r>
    <d v="2022-01-02T00:00:00"/>
    <s v="S003"/>
    <s v="P0003"/>
    <x v="1"/>
    <x v="3"/>
    <n v="157"/>
    <n v="7"/>
    <n v="187"/>
    <n v="22.8"/>
    <n v="88.68"/>
    <n v="20"/>
    <s v="Cloudy"/>
    <n v="1"/>
    <n v="87.38"/>
    <x v="0"/>
  </r>
  <r>
    <d v="2022-01-02T00:00:00"/>
    <s v="S003"/>
    <s v="P0004"/>
    <x v="3"/>
    <x v="2"/>
    <n v="120"/>
    <n v="54"/>
    <n v="154"/>
    <n v="49.64"/>
    <n v="82.36"/>
    <n v="20"/>
    <s v="Snowy"/>
    <n v="0"/>
    <n v="85.85"/>
    <x v="0"/>
  </r>
  <r>
    <d v="2022-01-02T00:00:00"/>
    <s v="S003"/>
    <s v="P0005"/>
    <x v="3"/>
    <x v="3"/>
    <n v="375"/>
    <n v="282"/>
    <n v="61"/>
    <n v="297.42"/>
    <n v="38.56"/>
    <n v="5"/>
    <s v="Cloudy"/>
    <n v="0"/>
    <n v="36.57"/>
    <x v="2"/>
  </r>
  <r>
    <d v="2022-01-02T00:00:00"/>
    <s v="S003"/>
    <s v="P0006"/>
    <x v="0"/>
    <x v="3"/>
    <n v="302"/>
    <n v="93"/>
    <n v="33"/>
    <n v="106.58"/>
    <n v="97.74"/>
    <n v="0"/>
    <s v="Cloudy"/>
    <n v="0"/>
    <n v="97.69"/>
    <x v="2"/>
  </r>
  <r>
    <d v="2022-01-02T00:00:00"/>
    <s v="S003"/>
    <s v="P0007"/>
    <x v="2"/>
    <x v="2"/>
    <n v="375"/>
    <n v="85"/>
    <n v="40"/>
    <n v="85.31"/>
    <n v="37.68"/>
    <n v="15"/>
    <s v="Cloudy"/>
    <n v="0"/>
    <n v="36.72"/>
    <x v="0"/>
  </r>
  <r>
    <d v="2022-01-02T00:00:00"/>
    <s v="S003"/>
    <s v="P0008"/>
    <x v="4"/>
    <x v="1"/>
    <n v="248"/>
    <n v="136"/>
    <n v="50"/>
    <n v="130.52000000000001"/>
    <n v="36.03"/>
    <n v="5"/>
    <s v="Rainy"/>
    <n v="0"/>
    <n v="37.49"/>
    <x v="3"/>
  </r>
  <r>
    <d v="2022-01-02T00:00:00"/>
    <s v="S003"/>
    <s v="P0009"/>
    <x v="2"/>
    <x v="2"/>
    <n v="219"/>
    <n v="140"/>
    <n v="196"/>
    <n v="139.46"/>
    <n v="88.97"/>
    <n v="0"/>
    <s v="Snowy"/>
    <n v="1"/>
    <n v="91.53"/>
    <x v="3"/>
  </r>
  <r>
    <d v="2022-01-02T00:00:00"/>
    <s v="S003"/>
    <s v="P0010"/>
    <x v="3"/>
    <x v="2"/>
    <n v="146"/>
    <n v="79"/>
    <n v="155"/>
    <n v="94.23"/>
    <n v="16.48"/>
    <n v="10"/>
    <s v="Cloudy"/>
    <n v="1"/>
    <n v="21.42"/>
    <x v="3"/>
  </r>
  <r>
    <d v="2022-01-02T00:00:00"/>
    <s v="S003"/>
    <s v="P0011"/>
    <x v="3"/>
    <x v="1"/>
    <n v="218"/>
    <n v="106"/>
    <n v="111"/>
    <n v="117.65"/>
    <n v="58.37"/>
    <n v="10"/>
    <s v="Cloudy"/>
    <n v="1"/>
    <n v="58.1"/>
    <x v="0"/>
  </r>
  <r>
    <d v="2022-01-02T00:00:00"/>
    <s v="S003"/>
    <s v="P0012"/>
    <x v="0"/>
    <x v="2"/>
    <n v="260"/>
    <n v="1"/>
    <n v="142"/>
    <n v="1.99"/>
    <n v="27.86"/>
    <n v="5"/>
    <s v="Snowy"/>
    <n v="1"/>
    <n v="31.78"/>
    <x v="2"/>
  </r>
  <r>
    <d v="2022-01-02T00:00:00"/>
    <s v="S003"/>
    <s v="P0013"/>
    <x v="2"/>
    <x v="2"/>
    <n v="414"/>
    <n v="203"/>
    <n v="53"/>
    <n v="206.35"/>
    <n v="39.14"/>
    <n v="5"/>
    <s v="Rainy"/>
    <n v="1"/>
    <n v="35.299999999999997"/>
    <x v="0"/>
  </r>
  <r>
    <d v="2022-01-02T00:00:00"/>
    <s v="S003"/>
    <s v="P0014"/>
    <x v="1"/>
    <x v="0"/>
    <n v="420"/>
    <n v="368"/>
    <n v="71"/>
    <n v="384.47"/>
    <n v="66.510000000000005"/>
    <n v="0"/>
    <s v="Cloudy"/>
    <n v="0"/>
    <n v="70.84"/>
    <x v="3"/>
  </r>
  <r>
    <d v="2022-01-02T00:00:00"/>
    <s v="S003"/>
    <s v="P0015"/>
    <x v="2"/>
    <x v="3"/>
    <n v="435"/>
    <n v="286"/>
    <n v="159"/>
    <n v="283.25"/>
    <n v="89.65"/>
    <n v="20"/>
    <s v="Snowy"/>
    <n v="0"/>
    <n v="84.99"/>
    <x v="2"/>
  </r>
  <r>
    <d v="2022-01-02T00:00:00"/>
    <s v="S003"/>
    <s v="P0016"/>
    <x v="4"/>
    <x v="1"/>
    <n v="230"/>
    <n v="69"/>
    <n v="173"/>
    <n v="70.77"/>
    <n v="86.7"/>
    <n v="20"/>
    <s v="Rainy"/>
    <n v="0"/>
    <n v="91.05"/>
    <x v="3"/>
  </r>
  <r>
    <d v="2022-01-02T00:00:00"/>
    <s v="S003"/>
    <s v="P0017"/>
    <x v="1"/>
    <x v="1"/>
    <n v="456"/>
    <n v="52"/>
    <n v="78"/>
    <n v="65.67"/>
    <n v="29.69"/>
    <n v="20"/>
    <s v="Snowy"/>
    <n v="0"/>
    <n v="25.27"/>
    <x v="1"/>
  </r>
  <r>
    <d v="2022-01-02T00:00:00"/>
    <s v="S003"/>
    <s v="P0018"/>
    <x v="1"/>
    <x v="3"/>
    <n v="319"/>
    <n v="109"/>
    <n v="83"/>
    <n v="126.67"/>
    <n v="86.93"/>
    <n v="10"/>
    <s v="Rainy"/>
    <n v="1"/>
    <n v="82.59"/>
    <x v="2"/>
  </r>
  <r>
    <d v="2022-01-02T00:00:00"/>
    <s v="S003"/>
    <s v="P0019"/>
    <x v="3"/>
    <x v="0"/>
    <n v="59"/>
    <n v="50"/>
    <n v="135"/>
    <n v="44.37"/>
    <n v="59.33"/>
    <n v="10"/>
    <s v="Cloudy"/>
    <n v="0"/>
    <n v="54.98"/>
    <x v="3"/>
  </r>
  <r>
    <d v="2022-01-02T00:00:00"/>
    <s v="S003"/>
    <s v="P0020"/>
    <x v="2"/>
    <x v="3"/>
    <n v="155"/>
    <n v="0"/>
    <n v="92"/>
    <n v="9.42"/>
    <n v="57.07"/>
    <n v="10"/>
    <s v="Rainy"/>
    <n v="1"/>
    <n v="53.34"/>
    <x v="1"/>
  </r>
  <r>
    <d v="2022-01-02T00:00:00"/>
    <s v="S004"/>
    <s v="P0001"/>
    <x v="2"/>
    <x v="0"/>
    <n v="144"/>
    <n v="22"/>
    <n v="45"/>
    <n v="39.119999999999997"/>
    <n v="74.16"/>
    <n v="15"/>
    <s v="Rainy"/>
    <n v="0"/>
    <n v="69.739999999999995"/>
    <x v="0"/>
  </r>
  <r>
    <d v="2022-01-02T00:00:00"/>
    <s v="S004"/>
    <s v="P0002"/>
    <x v="2"/>
    <x v="3"/>
    <n v="283"/>
    <n v="45"/>
    <n v="156"/>
    <n v="46.65"/>
    <n v="59.38"/>
    <n v="0"/>
    <s v="Sunny"/>
    <n v="1"/>
    <n v="62.4"/>
    <x v="3"/>
  </r>
  <r>
    <d v="2022-01-02T00:00:00"/>
    <s v="S004"/>
    <s v="P0003"/>
    <x v="4"/>
    <x v="3"/>
    <n v="347"/>
    <n v="89"/>
    <n v="122"/>
    <n v="87.77"/>
    <n v="48.18"/>
    <n v="0"/>
    <s v="Sunny"/>
    <n v="1"/>
    <n v="49.64"/>
    <x v="3"/>
  </r>
  <r>
    <d v="2022-01-02T00:00:00"/>
    <s v="S004"/>
    <s v="P0004"/>
    <x v="0"/>
    <x v="3"/>
    <n v="410"/>
    <n v="209"/>
    <n v="128"/>
    <n v="224.66"/>
    <n v="94.75"/>
    <n v="20"/>
    <s v="Snowy"/>
    <n v="0"/>
    <n v="90.1"/>
    <x v="0"/>
  </r>
  <r>
    <d v="2022-01-02T00:00:00"/>
    <s v="S004"/>
    <s v="P0005"/>
    <x v="1"/>
    <x v="2"/>
    <n v="99"/>
    <n v="4"/>
    <n v="76"/>
    <n v="14.91"/>
    <n v="60.89"/>
    <n v="5"/>
    <s v="Sunny"/>
    <n v="0"/>
    <n v="59.42"/>
    <x v="0"/>
  </r>
  <r>
    <d v="2022-01-02T00:00:00"/>
    <s v="S004"/>
    <s v="P0006"/>
    <x v="1"/>
    <x v="3"/>
    <n v="97"/>
    <n v="47"/>
    <n v="138"/>
    <n v="52.02"/>
    <n v="14.71"/>
    <n v="5"/>
    <s v="Cloudy"/>
    <n v="0"/>
    <n v="16.850000000000001"/>
    <x v="0"/>
  </r>
  <r>
    <d v="2022-01-02T00:00:00"/>
    <s v="S004"/>
    <s v="P0007"/>
    <x v="3"/>
    <x v="2"/>
    <n v="339"/>
    <n v="115"/>
    <n v="95"/>
    <n v="124.22"/>
    <n v="33.090000000000003"/>
    <n v="10"/>
    <s v="Rainy"/>
    <n v="0"/>
    <n v="28.55"/>
    <x v="3"/>
  </r>
  <r>
    <d v="2022-01-02T00:00:00"/>
    <s v="S004"/>
    <s v="P0008"/>
    <x v="1"/>
    <x v="1"/>
    <n v="144"/>
    <n v="27"/>
    <n v="119"/>
    <n v="21.73"/>
    <n v="98.75"/>
    <n v="15"/>
    <s v="Snowy"/>
    <n v="0"/>
    <n v="102.7"/>
    <x v="1"/>
  </r>
  <r>
    <d v="2022-01-02T00:00:00"/>
    <s v="S004"/>
    <s v="P0009"/>
    <x v="3"/>
    <x v="1"/>
    <n v="110"/>
    <n v="90"/>
    <n v="28"/>
    <n v="103.6"/>
    <n v="12.4"/>
    <n v="20"/>
    <s v="Snowy"/>
    <n v="0"/>
    <n v="8.56"/>
    <x v="0"/>
  </r>
  <r>
    <d v="2022-01-02T00:00:00"/>
    <s v="S004"/>
    <s v="P0010"/>
    <x v="0"/>
    <x v="1"/>
    <n v="348"/>
    <n v="206"/>
    <n v="67"/>
    <n v="214.99"/>
    <n v="92.01"/>
    <n v="15"/>
    <s v="Snowy"/>
    <n v="1"/>
    <n v="87.81"/>
    <x v="0"/>
  </r>
  <r>
    <d v="2022-01-02T00:00:00"/>
    <s v="S004"/>
    <s v="P0011"/>
    <x v="1"/>
    <x v="3"/>
    <n v="458"/>
    <n v="328"/>
    <n v="144"/>
    <n v="339.54"/>
    <n v="92.12"/>
    <n v="20"/>
    <s v="Sunny"/>
    <n v="1"/>
    <n v="87.37"/>
    <x v="3"/>
  </r>
  <r>
    <d v="2022-01-02T00:00:00"/>
    <s v="S004"/>
    <s v="P0012"/>
    <x v="0"/>
    <x v="1"/>
    <n v="403"/>
    <n v="155"/>
    <n v="24"/>
    <n v="145.99"/>
    <n v="37.39"/>
    <n v="20"/>
    <s v="Sunny"/>
    <n v="0"/>
    <n v="38.71"/>
    <x v="3"/>
  </r>
  <r>
    <d v="2022-01-02T00:00:00"/>
    <s v="S004"/>
    <s v="P0013"/>
    <x v="4"/>
    <x v="2"/>
    <n v="198"/>
    <n v="184"/>
    <n v="161"/>
    <n v="191.55"/>
    <n v="85.35"/>
    <n v="10"/>
    <s v="Rainy"/>
    <n v="1"/>
    <n v="80.790000000000006"/>
    <x v="3"/>
  </r>
  <r>
    <d v="2022-01-02T00:00:00"/>
    <s v="S004"/>
    <s v="P0014"/>
    <x v="2"/>
    <x v="3"/>
    <n v="472"/>
    <n v="16"/>
    <n v="166"/>
    <n v="28.75"/>
    <n v="82.64"/>
    <n v="0"/>
    <s v="Cloudy"/>
    <n v="0"/>
    <n v="78.349999999999994"/>
    <x v="0"/>
  </r>
  <r>
    <d v="2022-01-02T00:00:00"/>
    <s v="S004"/>
    <s v="P0015"/>
    <x v="1"/>
    <x v="0"/>
    <n v="178"/>
    <n v="90"/>
    <n v="79"/>
    <n v="98.56"/>
    <n v="92.19"/>
    <n v="10"/>
    <s v="Snowy"/>
    <n v="1"/>
    <n v="97.07"/>
    <x v="1"/>
  </r>
  <r>
    <d v="2022-01-02T00:00:00"/>
    <s v="S004"/>
    <s v="P0016"/>
    <x v="4"/>
    <x v="2"/>
    <n v="215"/>
    <n v="178"/>
    <n v="111"/>
    <n v="180.76"/>
    <n v="61.41"/>
    <n v="0"/>
    <s v="Sunny"/>
    <n v="0"/>
    <n v="61.32"/>
    <x v="3"/>
  </r>
  <r>
    <d v="2022-01-02T00:00:00"/>
    <s v="S004"/>
    <s v="P0017"/>
    <x v="2"/>
    <x v="1"/>
    <n v="477"/>
    <n v="256"/>
    <n v="150"/>
    <n v="254.89"/>
    <n v="96.47"/>
    <n v="20"/>
    <s v="Cloudy"/>
    <n v="0"/>
    <n v="93.35"/>
    <x v="3"/>
  </r>
  <r>
    <d v="2022-01-02T00:00:00"/>
    <s v="S004"/>
    <s v="P0018"/>
    <x v="3"/>
    <x v="1"/>
    <n v="198"/>
    <n v="27"/>
    <n v="62"/>
    <n v="25.51"/>
    <n v="89.33"/>
    <n v="0"/>
    <s v="Sunny"/>
    <n v="0"/>
    <n v="89.63"/>
    <x v="3"/>
  </r>
  <r>
    <d v="2022-01-02T00:00:00"/>
    <s v="S004"/>
    <s v="P0019"/>
    <x v="0"/>
    <x v="0"/>
    <n v="110"/>
    <n v="67"/>
    <n v="83"/>
    <n v="79.41"/>
    <n v="59.49"/>
    <n v="20"/>
    <s v="Rainy"/>
    <n v="1"/>
    <n v="57.55"/>
    <x v="3"/>
  </r>
  <r>
    <d v="2022-01-02T00:00:00"/>
    <s v="S004"/>
    <s v="P0020"/>
    <x v="2"/>
    <x v="0"/>
    <n v="254"/>
    <n v="84"/>
    <n v="112"/>
    <n v="77.150000000000006"/>
    <n v="73.05"/>
    <n v="15"/>
    <s v="Sunny"/>
    <n v="1"/>
    <n v="74.55"/>
    <x v="0"/>
  </r>
  <r>
    <d v="2022-01-02T00:00:00"/>
    <s v="S005"/>
    <s v="P0001"/>
    <x v="0"/>
    <x v="3"/>
    <n v="223"/>
    <n v="67"/>
    <n v="53"/>
    <n v="74.8"/>
    <n v="67.489999999999995"/>
    <n v="5"/>
    <s v="Sunny"/>
    <n v="0"/>
    <n v="65.239999999999995"/>
    <x v="2"/>
  </r>
  <r>
    <d v="2022-01-02T00:00:00"/>
    <s v="S005"/>
    <s v="P0002"/>
    <x v="3"/>
    <x v="2"/>
    <n v="100"/>
    <n v="15"/>
    <n v="114"/>
    <n v="28.97"/>
    <n v="66.05"/>
    <n v="10"/>
    <s v="Sunny"/>
    <n v="1"/>
    <n v="65.16"/>
    <x v="0"/>
  </r>
  <r>
    <d v="2022-01-02T00:00:00"/>
    <s v="S005"/>
    <s v="P0003"/>
    <x v="1"/>
    <x v="2"/>
    <n v="397"/>
    <n v="333"/>
    <n v="35"/>
    <n v="336.02"/>
    <n v="80.88"/>
    <n v="20"/>
    <s v="Rainy"/>
    <n v="1"/>
    <n v="84.97"/>
    <x v="2"/>
  </r>
  <r>
    <d v="2022-01-02T00:00:00"/>
    <s v="S005"/>
    <s v="P0004"/>
    <x v="0"/>
    <x v="0"/>
    <n v="442"/>
    <n v="56"/>
    <n v="38"/>
    <n v="54.08"/>
    <n v="60.5"/>
    <n v="10"/>
    <s v="Cloudy"/>
    <n v="1"/>
    <n v="64.88"/>
    <x v="3"/>
  </r>
  <r>
    <d v="2022-01-02T00:00:00"/>
    <s v="S005"/>
    <s v="P0005"/>
    <x v="3"/>
    <x v="2"/>
    <n v="411"/>
    <n v="165"/>
    <n v="194"/>
    <n v="172.41"/>
    <n v="71.72"/>
    <n v="20"/>
    <s v="Rainy"/>
    <n v="0"/>
    <n v="75.17"/>
    <x v="0"/>
  </r>
  <r>
    <d v="2022-01-02T00:00:00"/>
    <s v="S005"/>
    <s v="P0006"/>
    <x v="4"/>
    <x v="0"/>
    <n v="76"/>
    <n v="54"/>
    <n v="175"/>
    <n v="49.32"/>
    <n v="69.209999999999994"/>
    <n v="15"/>
    <s v="Rainy"/>
    <n v="1"/>
    <n v="71.17"/>
    <x v="1"/>
  </r>
  <r>
    <d v="2022-01-02T00:00:00"/>
    <s v="S005"/>
    <s v="P0007"/>
    <x v="4"/>
    <x v="3"/>
    <n v="257"/>
    <n v="93"/>
    <n v="148"/>
    <n v="84.69"/>
    <n v="70.69"/>
    <n v="20"/>
    <s v="Snowy"/>
    <n v="0"/>
    <n v="71.37"/>
    <x v="2"/>
  </r>
  <r>
    <d v="2022-01-02T00:00:00"/>
    <s v="S005"/>
    <s v="P0008"/>
    <x v="3"/>
    <x v="3"/>
    <n v="353"/>
    <n v="250"/>
    <n v="57"/>
    <n v="254.75"/>
    <n v="63.54"/>
    <n v="15"/>
    <s v="Cloudy"/>
    <n v="0"/>
    <n v="61.05"/>
    <x v="1"/>
  </r>
  <r>
    <d v="2022-01-02T00:00:00"/>
    <s v="S005"/>
    <s v="P0009"/>
    <x v="2"/>
    <x v="2"/>
    <n v="119"/>
    <n v="90"/>
    <n v="76"/>
    <n v="99.63"/>
    <n v="78.08"/>
    <n v="10"/>
    <s v="Sunny"/>
    <n v="0"/>
    <n v="73.69"/>
    <x v="2"/>
  </r>
  <r>
    <d v="2022-01-02T00:00:00"/>
    <s v="S005"/>
    <s v="P0010"/>
    <x v="3"/>
    <x v="2"/>
    <n v="403"/>
    <n v="83"/>
    <n v="77"/>
    <n v="84.32"/>
    <n v="43.09"/>
    <n v="10"/>
    <s v="Sunny"/>
    <n v="1"/>
    <n v="47.02"/>
    <x v="3"/>
  </r>
  <r>
    <d v="2022-01-02T00:00:00"/>
    <s v="S005"/>
    <s v="P0011"/>
    <x v="2"/>
    <x v="3"/>
    <n v="60"/>
    <n v="16"/>
    <n v="149"/>
    <n v="23.98"/>
    <n v="25.67"/>
    <n v="5"/>
    <s v="Sunny"/>
    <n v="1"/>
    <n v="27.78"/>
    <x v="2"/>
  </r>
  <r>
    <d v="2022-01-02T00:00:00"/>
    <s v="S005"/>
    <s v="P0012"/>
    <x v="1"/>
    <x v="2"/>
    <n v="182"/>
    <n v="87"/>
    <n v="121"/>
    <n v="83.13"/>
    <n v="38.590000000000003"/>
    <n v="20"/>
    <s v="Rainy"/>
    <n v="0"/>
    <n v="33.869999999999997"/>
    <x v="3"/>
  </r>
  <r>
    <d v="2022-01-02T00:00:00"/>
    <s v="S005"/>
    <s v="P0013"/>
    <x v="3"/>
    <x v="3"/>
    <n v="455"/>
    <n v="241"/>
    <n v="136"/>
    <n v="235.03"/>
    <n v="57.99"/>
    <n v="5"/>
    <s v="Sunny"/>
    <n v="0"/>
    <n v="55.4"/>
    <x v="3"/>
  </r>
  <r>
    <d v="2022-01-02T00:00:00"/>
    <s v="S005"/>
    <s v="P0014"/>
    <x v="1"/>
    <x v="1"/>
    <n v="437"/>
    <n v="286"/>
    <n v="116"/>
    <n v="282.52"/>
    <n v="14.65"/>
    <n v="20"/>
    <s v="Snowy"/>
    <n v="1"/>
    <n v="13.12"/>
    <x v="2"/>
  </r>
  <r>
    <d v="2022-01-02T00:00:00"/>
    <s v="S005"/>
    <s v="P0015"/>
    <x v="4"/>
    <x v="2"/>
    <n v="289"/>
    <n v="60"/>
    <n v="83"/>
    <n v="52.77"/>
    <n v="63.26"/>
    <n v="0"/>
    <s v="Rainy"/>
    <n v="1"/>
    <n v="61.02"/>
    <x v="0"/>
  </r>
  <r>
    <d v="2022-01-02T00:00:00"/>
    <s v="S005"/>
    <s v="P0016"/>
    <x v="0"/>
    <x v="3"/>
    <n v="487"/>
    <n v="437"/>
    <n v="106"/>
    <n v="432.86"/>
    <n v="43.64"/>
    <n v="15"/>
    <s v="Cloudy"/>
    <n v="1"/>
    <n v="39.130000000000003"/>
    <x v="0"/>
  </r>
  <r>
    <d v="2022-01-02T00:00:00"/>
    <s v="S005"/>
    <s v="P0017"/>
    <x v="1"/>
    <x v="0"/>
    <n v="418"/>
    <n v="377"/>
    <n v="76"/>
    <n v="383.26"/>
    <n v="84.85"/>
    <n v="20"/>
    <s v="Sunny"/>
    <n v="1"/>
    <n v="84.29"/>
    <x v="1"/>
  </r>
  <r>
    <d v="2022-01-02T00:00:00"/>
    <s v="S005"/>
    <s v="P0018"/>
    <x v="4"/>
    <x v="2"/>
    <n v="89"/>
    <n v="83"/>
    <n v="113"/>
    <n v="78.67"/>
    <n v="47.05"/>
    <n v="15"/>
    <s v="Rainy"/>
    <n v="1"/>
    <n v="47.89"/>
    <x v="3"/>
  </r>
  <r>
    <d v="2022-01-02T00:00:00"/>
    <s v="S005"/>
    <s v="P0019"/>
    <x v="4"/>
    <x v="2"/>
    <n v="421"/>
    <n v="203"/>
    <n v="152"/>
    <n v="220.23"/>
    <n v="76.83"/>
    <n v="20"/>
    <s v="Snowy"/>
    <n v="0"/>
    <n v="75.86"/>
    <x v="3"/>
  </r>
  <r>
    <d v="2022-01-02T00:00:00"/>
    <s v="S005"/>
    <s v="P0020"/>
    <x v="4"/>
    <x v="1"/>
    <n v="211"/>
    <n v="183"/>
    <n v="189"/>
    <n v="190.11"/>
    <n v="93.95"/>
    <n v="10"/>
    <s v="Sunny"/>
    <n v="1"/>
    <n v="98.89"/>
    <x v="3"/>
  </r>
  <r>
    <d v="2022-01-03T00:00:00"/>
    <s v="S001"/>
    <s v="P0001"/>
    <x v="2"/>
    <x v="2"/>
    <n v="154"/>
    <n v="5"/>
    <n v="189"/>
    <n v="5.36"/>
    <n v="62.7"/>
    <n v="20"/>
    <s v="Rainy"/>
    <n v="0"/>
    <n v="58.22"/>
    <x v="2"/>
  </r>
  <r>
    <d v="2022-01-03T00:00:00"/>
    <s v="S001"/>
    <s v="P0002"/>
    <x v="4"/>
    <x v="3"/>
    <n v="282"/>
    <n v="199"/>
    <n v="70"/>
    <n v="193.26"/>
    <n v="54.02"/>
    <n v="0"/>
    <s v="Cloudy"/>
    <n v="0"/>
    <n v="52.91"/>
    <x v="3"/>
  </r>
  <r>
    <d v="2022-01-03T00:00:00"/>
    <s v="S001"/>
    <s v="P0003"/>
    <x v="1"/>
    <x v="1"/>
    <n v="183"/>
    <n v="176"/>
    <n v="124"/>
    <n v="168.28"/>
    <n v="26.03"/>
    <n v="10"/>
    <s v="Rainy"/>
    <n v="0"/>
    <n v="29.38"/>
    <x v="2"/>
  </r>
  <r>
    <d v="2022-01-03T00:00:00"/>
    <s v="S001"/>
    <s v="P0004"/>
    <x v="2"/>
    <x v="3"/>
    <n v="239"/>
    <n v="214"/>
    <n v="51"/>
    <n v="228.51"/>
    <n v="10.19"/>
    <n v="0"/>
    <s v="Cloudy"/>
    <n v="1"/>
    <n v="7.82"/>
    <x v="2"/>
  </r>
  <r>
    <d v="2022-01-03T00:00:00"/>
    <s v="S001"/>
    <s v="P0005"/>
    <x v="0"/>
    <x v="2"/>
    <n v="368"/>
    <n v="165"/>
    <n v="56"/>
    <n v="170.76"/>
    <n v="95.54"/>
    <n v="0"/>
    <s v="Sunny"/>
    <n v="0"/>
    <n v="91.29"/>
    <x v="3"/>
  </r>
  <r>
    <d v="2022-01-03T00:00:00"/>
    <s v="S001"/>
    <s v="P0006"/>
    <x v="3"/>
    <x v="1"/>
    <n v="57"/>
    <n v="9"/>
    <n v="40"/>
    <n v="13.6"/>
    <n v="57.65"/>
    <n v="5"/>
    <s v="Sunny"/>
    <n v="0"/>
    <n v="58.01"/>
    <x v="1"/>
  </r>
  <r>
    <d v="2022-01-03T00:00:00"/>
    <s v="S001"/>
    <s v="P0007"/>
    <x v="4"/>
    <x v="1"/>
    <n v="460"/>
    <n v="140"/>
    <n v="70"/>
    <n v="143.69999999999999"/>
    <n v="87.85"/>
    <n v="20"/>
    <s v="Sunny"/>
    <n v="0"/>
    <n v="91.9"/>
    <x v="2"/>
  </r>
  <r>
    <d v="2022-01-03T00:00:00"/>
    <s v="S001"/>
    <s v="P0008"/>
    <x v="0"/>
    <x v="2"/>
    <n v="214"/>
    <n v="177"/>
    <n v="150"/>
    <n v="178"/>
    <n v="53.94"/>
    <n v="5"/>
    <s v="Snowy"/>
    <n v="0"/>
    <n v="51.47"/>
    <x v="0"/>
  </r>
  <r>
    <d v="2022-01-03T00:00:00"/>
    <s v="S001"/>
    <s v="P0009"/>
    <x v="0"/>
    <x v="1"/>
    <n v="407"/>
    <n v="217"/>
    <n v="55"/>
    <n v="217.69"/>
    <n v="61.42"/>
    <n v="20"/>
    <s v="Sunny"/>
    <n v="0"/>
    <n v="65.86"/>
    <x v="2"/>
  </r>
  <r>
    <d v="2022-01-03T00:00:00"/>
    <s v="S001"/>
    <s v="P0010"/>
    <x v="2"/>
    <x v="2"/>
    <n v="51"/>
    <n v="47"/>
    <n v="155"/>
    <n v="38.08"/>
    <n v="99.14"/>
    <n v="10"/>
    <s v="Snowy"/>
    <n v="0"/>
    <n v="102.66"/>
    <x v="0"/>
  </r>
  <r>
    <d v="2022-01-03T00:00:00"/>
    <s v="S001"/>
    <s v="P0011"/>
    <x v="0"/>
    <x v="3"/>
    <n v="252"/>
    <n v="3"/>
    <n v="98"/>
    <n v="5.18"/>
    <n v="60.52"/>
    <n v="0"/>
    <s v="Cloudy"/>
    <n v="0"/>
    <n v="62.72"/>
    <x v="0"/>
  </r>
  <r>
    <d v="2022-01-03T00:00:00"/>
    <s v="S001"/>
    <s v="P0012"/>
    <x v="4"/>
    <x v="3"/>
    <n v="72"/>
    <n v="2"/>
    <n v="62"/>
    <n v="9.81"/>
    <n v="86.93"/>
    <n v="15"/>
    <s v="Cloudy"/>
    <n v="0"/>
    <n v="83.11"/>
    <x v="1"/>
  </r>
  <r>
    <d v="2022-01-03T00:00:00"/>
    <s v="S001"/>
    <s v="P0013"/>
    <x v="4"/>
    <x v="1"/>
    <n v="194"/>
    <n v="18"/>
    <n v="120"/>
    <n v="20.05"/>
    <n v="83.11"/>
    <n v="10"/>
    <s v="Snowy"/>
    <n v="1"/>
    <n v="85.16"/>
    <x v="1"/>
  </r>
  <r>
    <d v="2022-01-03T00:00:00"/>
    <s v="S001"/>
    <s v="P0014"/>
    <x v="1"/>
    <x v="1"/>
    <n v="302"/>
    <n v="242"/>
    <n v="145"/>
    <n v="255.54"/>
    <n v="32.28"/>
    <n v="10"/>
    <s v="Rainy"/>
    <n v="1"/>
    <n v="30.1"/>
    <x v="2"/>
  </r>
  <r>
    <d v="2022-01-03T00:00:00"/>
    <s v="S001"/>
    <s v="P0015"/>
    <x v="1"/>
    <x v="0"/>
    <n v="330"/>
    <n v="228"/>
    <n v="157"/>
    <n v="246.91"/>
    <n v="52.17"/>
    <n v="10"/>
    <s v="Sunny"/>
    <n v="1"/>
    <n v="52.43"/>
    <x v="1"/>
  </r>
  <r>
    <d v="2022-01-03T00:00:00"/>
    <s v="S001"/>
    <s v="P0016"/>
    <x v="4"/>
    <x v="3"/>
    <n v="148"/>
    <n v="31"/>
    <n v="160"/>
    <n v="35.11"/>
    <n v="93.61"/>
    <n v="15"/>
    <s v="Snowy"/>
    <n v="1"/>
    <n v="94.15"/>
    <x v="3"/>
  </r>
  <r>
    <d v="2022-01-03T00:00:00"/>
    <s v="S001"/>
    <s v="P0017"/>
    <x v="4"/>
    <x v="0"/>
    <n v="315"/>
    <n v="16"/>
    <n v="197"/>
    <n v="33.51"/>
    <n v="98.25"/>
    <n v="5"/>
    <s v="Sunny"/>
    <n v="0"/>
    <n v="100.34"/>
    <x v="3"/>
  </r>
  <r>
    <d v="2022-01-03T00:00:00"/>
    <s v="S001"/>
    <s v="P0018"/>
    <x v="3"/>
    <x v="3"/>
    <n v="97"/>
    <n v="20"/>
    <n v="147"/>
    <n v="37.26"/>
    <n v="78.53"/>
    <n v="5"/>
    <s v="Rainy"/>
    <n v="0"/>
    <n v="75.48"/>
    <x v="0"/>
  </r>
  <r>
    <d v="2022-01-03T00:00:00"/>
    <s v="S001"/>
    <s v="P0019"/>
    <x v="3"/>
    <x v="1"/>
    <n v="240"/>
    <n v="193"/>
    <n v="171"/>
    <n v="203.45"/>
    <n v="56.91"/>
    <n v="0"/>
    <s v="Sunny"/>
    <n v="1"/>
    <n v="54.2"/>
    <x v="3"/>
  </r>
  <r>
    <d v="2022-01-03T00:00:00"/>
    <s v="S001"/>
    <s v="P0020"/>
    <x v="1"/>
    <x v="0"/>
    <n v="178"/>
    <n v="118"/>
    <n v="162"/>
    <n v="110.02"/>
    <n v="35.32"/>
    <n v="20"/>
    <s v="Cloudy"/>
    <n v="1"/>
    <n v="37.56"/>
    <x v="1"/>
  </r>
  <r>
    <d v="2022-01-03T00:00:00"/>
    <s v="S002"/>
    <s v="P0001"/>
    <x v="1"/>
    <x v="0"/>
    <n v="405"/>
    <n v="96"/>
    <n v="171"/>
    <n v="100.82"/>
    <n v="48.08"/>
    <n v="0"/>
    <s v="Rainy"/>
    <n v="1"/>
    <n v="49.4"/>
    <x v="0"/>
  </r>
  <r>
    <d v="2022-01-03T00:00:00"/>
    <s v="S002"/>
    <s v="P0002"/>
    <x v="2"/>
    <x v="0"/>
    <n v="200"/>
    <n v="48"/>
    <n v="47"/>
    <n v="55.45"/>
    <n v="46.95"/>
    <n v="15"/>
    <s v="Snowy"/>
    <n v="1"/>
    <n v="43.48"/>
    <x v="1"/>
  </r>
  <r>
    <d v="2022-01-03T00:00:00"/>
    <s v="S002"/>
    <s v="P0003"/>
    <x v="3"/>
    <x v="2"/>
    <n v="327"/>
    <n v="130"/>
    <n v="166"/>
    <n v="127.03"/>
    <n v="94.45"/>
    <n v="20"/>
    <s v="Cloudy"/>
    <n v="1"/>
    <n v="99.26"/>
    <x v="2"/>
  </r>
  <r>
    <d v="2022-01-03T00:00:00"/>
    <s v="S002"/>
    <s v="P0004"/>
    <x v="0"/>
    <x v="0"/>
    <n v="409"/>
    <n v="11"/>
    <n v="48"/>
    <n v="8.25"/>
    <n v="27.28"/>
    <n v="10"/>
    <s v="Snowy"/>
    <n v="1"/>
    <n v="28.61"/>
    <x v="0"/>
  </r>
  <r>
    <d v="2022-01-03T00:00:00"/>
    <s v="S002"/>
    <s v="P0005"/>
    <x v="0"/>
    <x v="2"/>
    <n v="327"/>
    <n v="313"/>
    <n v="194"/>
    <n v="326.56"/>
    <n v="29.74"/>
    <n v="0"/>
    <s v="Snowy"/>
    <n v="1"/>
    <n v="31.67"/>
    <x v="2"/>
  </r>
  <r>
    <d v="2022-01-03T00:00:00"/>
    <s v="S002"/>
    <s v="P0006"/>
    <x v="3"/>
    <x v="0"/>
    <n v="388"/>
    <n v="352"/>
    <n v="199"/>
    <n v="365.82"/>
    <n v="27.64"/>
    <n v="5"/>
    <s v="Snowy"/>
    <n v="0"/>
    <n v="27.19"/>
    <x v="1"/>
  </r>
  <r>
    <d v="2022-01-03T00:00:00"/>
    <s v="S002"/>
    <s v="P0007"/>
    <x v="1"/>
    <x v="1"/>
    <n v="483"/>
    <n v="265"/>
    <n v="108"/>
    <n v="277.23"/>
    <n v="60.54"/>
    <n v="5"/>
    <s v="Rainy"/>
    <n v="0"/>
    <n v="55.83"/>
    <x v="0"/>
  </r>
  <r>
    <d v="2022-01-03T00:00:00"/>
    <s v="S002"/>
    <s v="P0008"/>
    <x v="3"/>
    <x v="1"/>
    <n v="70"/>
    <n v="11"/>
    <n v="137"/>
    <n v="23.62"/>
    <n v="58.55"/>
    <n v="10"/>
    <s v="Cloudy"/>
    <n v="0"/>
    <n v="63.45"/>
    <x v="1"/>
  </r>
  <r>
    <d v="2022-01-03T00:00:00"/>
    <s v="S002"/>
    <s v="P0009"/>
    <x v="0"/>
    <x v="1"/>
    <n v="288"/>
    <n v="191"/>
    <n v="29"/>
    <n v="207.27"/>
    <n v="58.59"/>
    <n v="0"/>
    <s v="Cloudy"/>
    <n v="0"/>
    <n v="60.98"/>
    <x v="1"/>
  </r>
  <r>
    <d v="2022-01-03T00:00:00"/>
    <s v="S002"/>
    <s v="P0010"/>
    <x v="2"/>
    <x v="2"/>
    <n v="270"/>
    <n v="185"/>
    <n v="150"/>
    <n v="192.21"/>
    <n v="95.48"/>
    <n v="0"/>
    <s v="Rainy"/>
    <n v="1"/>
    <n v="91.76"/>
    <x v="2"/>
  </r>
  <r>
    <d v="2022-01-03T00:00:00"/>
    <s v="S002"/>
    <s v="P0011"/>
    <x v="4"/>
    <x v="0"/>
    <n v="217"/>
    <n v="143"/>
    <n v="66"/>
    <n v="154.26"/>
    <n v="37.81"/>
    <n v="20"/>
    <s v="Snowy"/>
    <n v="1"/>
    <n v="37.14"/>
    <x v="0"/>
  </r>
  <r>
    <d v="2022-01-03T00:00:00"/>
    <s v="S002"/>
    <s v="P0012"/>
    <x v="2"/>
    <x v="2"/>
    <n v="221"/>
    <n v="85"/>
    <n v="84"/>
    <n v="104.48"/>
    <n v="48.7"/>
    <n v="10"/>
    <s v="Rainy"/>
    <n v="0"/>
    <n v="51.33"/>
    <x v="3"/>
  </r>
  <r>
    <d v="2022-01-03T00:00:00"/>
    <s v="S002"/>
    <s v="P0013"/>
    <x v="0"/>
    <x v="2"/>
    <n v="303"/>
    <n v="270"/>
    <n v="164"/>
    <n v="268.73"/>
    <n v="65.89"/>
    <n v="10"/>
    <s v="Cloudy"/>
    <n v="0"/>
    <n v="64.52"/>
    <x v="1"/>
  </r>
  <r>
    <d v="2022-01-03T00:00:00"/>
    <s v="S002"/>
    <s v="P0014"/>
    <x v="0"/>
    <x v="2"/>
    <n v="298"/>
    <n v="233"/>
    <n v="143"/>
    <n v="245.02"/>
    <n v="20.37"/>
    <n v="0"/>
    <s v="Rainy"/>
    <n v="1"/>
    <n v="23.3"/>
    <x v="3"/>
  </r>
  <r>
    <d v="2022-01-03T00:00:00"/>
    <s v="S002"/>
    <s v="P0015"/>
    <x v="3"/>
    <x v="2"/>
    <n v="193"/>
    <n v="187"/>
    <n v="57"/>
    <n v="177.8"/>
    <n v="46.25"/>
    <n v="0"/>
    <s v="Snowy"/>
    <n v="0"/>
    <n v="49.2"/>
    <x v="3"/>
  </r>
  <r>
    <d v="2022-01-03T00:00:00"/>
    <s v="S002"/>
    <s v="P0016"/>
    <x v="2"/>
    <x v="1"/>
    <n v="205"/>
    <n v="39"/>
    <n v="147"/>
    <n v="37.83"/>
    <n v="71.739999999999995"/>
    <n v="10"/>
    <s v="Rainy"/>
    <n v="0"/>
    <n v="76.17"/>
    <x v="2"/>
  </r>
  <r>
    <d v="2022-01-03T00:00:00"/>
    <s v="S002"/>
    <s v="P0017"/>
    <x v="1"/>
    <x v="2"/>
    <n v="427"/>
    <n v="234"/>
    <n v="195"/>
    <n v="231.16"/>
    <n v="20.57"/>
    <n v="10"/>
    <s v="Rainy"/>
    <n v="1"/>
    <n v="22.24"/>
    <x v="0"/>
  </r>
  <r>
    <d v="2022-01-03T00:00:00"/>
    <s v="S002"/>
    <s v="P0018"/>
    <x v="4"/>
    <x v="1"/>
    <n v="365"/>
    <n v="213"/>
    <n v="106"/>
    <n v="208.31"/>
    <n v="29.88"/>
    <n v="20"/>
    <s v="Rainy"/>
    <n v="1"/>
    <n v="25.73"/>
    <x v="0"/>
  </r>
  <r>
    <d v="2022-01-03T00:00:00"/>
    <s v="S002"/>
    <s v="P0019"/>
    <x v="4"/>
    <x v="0"/>
    <n v="111"/>
    <n v="55"/>
    <n v="163"/>
    <n v="71.88"/>
    <n v="73.98"/>
    <n v="15"/>
    <s v="Rainy"/>
    <n v="1"/>
    <n v="73.5"/>
    <x v="2"/>
  </r>
  <r>
    <d v="2022-01-03T00:00:00"/>
    <s v="S002"/>
    <s v="P0020"/>
    <x v="0"/>
    <x v="1"/>
    <n v="271"/>
    <n v="22"/>
    <n v="178"/>
    <n v="15.3"/>
    <n v="45.02"/>
    <n v="10"/>
    <s v="Sunny"/>
    <n v="0"/>
    <n v="47.01"/>
    <x v="3"/>
  </r>
  <r>
    <d v="2022-01-03T00:00:00"/>
    <s v="S003"/>
    <s v="P0001"/>
    <x v="4"/>
    <x v="0"/>
    <n v="134"/>
    <n v="100"/>
    <n v="185"/>
    <n v="100.66"/>
    <n v="82.88"/>
    <n v="10"/>
    <s v="Sunny"/>
    <n v="1"/>
    <n v="86.74"/>
    <x v="0"/>
  </r>
  <r>
    <d v="2022-01-03T00:00:00"/>
    <s v="S003"/>
    <s v="P0002"/>
    <x v="0"/>
    <x v="0"/>
    <n v="405"/>
    <n v="353"/>
    <n v="74"/>
    <n v="355.08"/>
    <n v="17.36"/>
    <n v="0"/>
    <s v="Cloudy"/>
    <n v="1"/>
    <n v="17.32"/>
    <x v="3"/>
  </r>
  <r>
    <d v="2022-01-03T00:00:00"/>
    <s v="S003"/>
    <s v="P0003"/>
    <x v="2"/>
    <x v="2"/>
    <n v="290"/>
    <n v="255"/>
    <n v="118"/>
    <n v="246.78"/>
    <n v="42.7"/>
    <n v="20"/>
    <s v="Snowy"/>
    <n v="0"/>
    <n v="40.380000000000003"/>
    <x v="0"/>
  </r>
  <r>
    <d v="2022-01-03T00:00:00"/>
    <s v="S003"/>
    <s v="P0004"/>
    <x v="4"/>
    <x v="1"/>
    <n v="403"/>
    <n v="154"/>
    <n v="189"/>
    <n v="166.81"/>
    <n v="89.67"/>
    <n v="15"/>
    <s v="Sunny"/>
    <n v="0"/>
    <n v="88.99"/>
    <x v="0"/>
  </r>
  <r>
    <d v="2022-01-03T00:00:00"/>
    <s v="S003"/>
    <s v="P0005"/>
    <x v="4"/>
    <x v="3"/>
    <n v="311"/>
    <n v="147"/>
    <n v="29"/>
    <n v="154.97"/>
    <n v="65.77"/>
    <n v="0"/>
    <s v="Cloudy"/>
    <n v="1"/>
    <n v="61.06"/>
    <x v="3"/>
  </r>
  <r>
    <d v="2022-01-03T00:00:00"/>
    <s v="S003"/>
    <s v="P0006"/>
    <x v="2"/>
    <x v="0"/>
    <n v="448"/>
    <n v="342"/>
    <n v="112"/>
    <n v="357.52"/>
    <n v="95.74"/>
    <n v="10"/>
    <s v="Cloudy"/>
    <n v="0"/>
    <n v="94.29"/>
    <x v="1"/>
  </r>
  <r>
    <d v="2022-01-03T00:00:00"/>
    <s v="S003"/>
    <s v="P0007"/>
    <x v="3"/>
    <x v="2"/>
    <n v="277"/>
    <n v="54"/>
    <n v="126"/>
    <n v="48.62"/>
    <n v="98.9"/>
    <n v="0"/>
    <s v="Cloudy"/>
    <n v="0"/>
    <n v="97.62"/>
    <x v="1"/>
  </r>
  <r>
    <d v="2022-01-03T00:00:00"/>
    <s v="S003"/>
    <s v="P0008"/>
    <x v="1"/>
    <x v="3"/>
    <n v="421"/>
    <n v="289"/>
    <n v="112"/>
    <n v="292.20999999999998"/>
    <n v="41.11"/>
    <n v="15"/>
    <s v="Cloudy"/>
    <n v="0"/>
    <n v="36.9"/>
    <x v="1"/>
  </r>
  <r>
    <d v="2022-01-03T00:00:00"/>
    <s v="S003"/>
    <s v="P0009"/>
    <x v="1"/>
    <x v="1"/>
    <n v="241"/>
    <n v="179"/>
    <n v="135"/>
    <n v="198.59"/>
    <n v="42.07"/>
    <n v="0"/>
    <s v="Snowy"/>
    <n v="1"/>
    <n v="37.659999999999997"/>
    <x v="2"/>
  </r>
  <r>
    <d v="2022-01-03T00:00:00"/>
    <s v="S003"/>
    <s v="P0010"/>
    <x v="3"/>
    <x v="1"/>
    <n v="186"/>
    <n v="175"/>
    <n v="75"/>
    <n v="177.8"/>
    <n v="95.89"/>
    <n v="0"/>
    <s v="Rainy"/>
    <n v="1"/>
    <n v="96.19"/>
    <x v="0"/>
  </r>
  <r>
    <d v="2022-01-03T00:00:00"/>
    <s v="S003"/>
    <s v="P0011"/>
    <x v="4"/>
    <x v="2"/>
    <n v="413"/>
    <n v="209"/>
    <n v="86"/>
    <n v="220.54"/>
    <n v="84.12"/>
    <n v="5"/>
    <s v="Sunny"/>
    <n v="0"/>
    <n v="89.06"/>
    <x v="3"/>
  </r>
  <r>
    <d v="2022-01-03T00:00:00"/>
    <s v="S003"/>
    <s v="P0012"/>
    <x v="1"/>
    <x v="3"/>
    <n v="112"/>
    <n v="109"/>
    <n v="46"/>
    <n v="113.33"/>
    <n v="71.209999999999994"/>
    <n v="20"/>
    <s v="Rainy"/>
    <n v="1"/>
    <n v="74.709999999999994"/>
    <x v="1"/>
  </r>
  <r>
    <d v="2022-01-03T00:00:00"/>
    <s v="S003"/>
    <s v="P0013"/>
    <x v="0"/>
    <x v="1"/>
    <n v="268"/>
    <n v="43"/>
    <n v="78"/>
    <n v="49.77"/>
    <n v="49.23"/>
    <n v="0"/>
    <s v="Rainy"/>
    <n v="1"/>
    <n v="47.75"/>
    <x v="3"/>
  </r>
  <r>
    <d v="2022-01-03T00:00:00"/>
    <s v="S003"/>
    <s v="P0014"/>
    <x v="1"/>
    <x v="1"/>
    <n v="347"/>
    <n v="58"/>
    <n v="38"/>
    <n v="49.31"/>
    <n v="21.87"/>
    <n v="10"/>
    <s v="Rainy"/>
    <n v="1"/>
    <n v="25"/>
    <x v="0"/>
  </r>
  <r>
    <d v="2022-01-03T00:00:00"/>
    <s v="S003"/>
    <s v="P0015"/>
    <x v="2"/>
    <x v="1"/>
    <n v="495"/>
    <n v="399"/>
    <n v="86"/>
    <n v="390.1"/>
    <n v="60.83"/>
    <n v="0"/>
    <s v="Cloudy"/>
    <n v="1"/>
    <n v="60.34"/>
    <x v="3"/>
  </r>
  <r>
    <d v="2022-01-03T00:00:00"/>
    <s v="S003"/>
    <s v="P0016"/>
    <x v="4"/>
    <x v="2"/>
    <n v="324"/>
    <n v="95"/>
    <n v="145"/>
    <n v="111.3"/>
    <n v="56.78"/>
    <n v="20"/>
    <s v="Rainy"/>
    <n v="0"/>
    <n v="60.75"/>
    <x v="2"/>
  </r>
  <r>
    <d v="2022-01-03T00:00:00"/>
    <s v="S003"/>
    <s v="P0017"/>
    <x v="4"/>
    <x v="2"/>
    <n v="330"/>
    <n v="296"/>
    <n v="138"/>
    <n v="297.58"/>
    <n v="76.12"/>
    <n v="5"/>
    <s v="Snowy"/>
    <n v="0"/>
    <n v="77.55"/>
    <x v="3"/>
  </r>
  <r>
    <d v="2022-01-03T00:00:00"/>
    <s v="S003"/>
    <s v="P0018"/>
    <x v="2"/>
    <x v="3"/>
    <n v="297"/>
    <n v="105"/>
    <n v="66"/>
    <n v="104.66"/>
    <n v="98.9"/>
    <n v="10"/>
    <s v="Sunny"/>
    <n v="0"/>
    <n v="96.55"/>
    <x v="2"/>
  </r>
  <r>
    <d v="2022-01-03T00:00:00"/>
    <s v="S003"/>
    <s v="P0019"/>
    <x v="4"/>
    <x v="3"/>
    <n v="169"/>
    <n v="103"/>
    <n v="47"/>
    <n v="107.67"/>
    <n v="46.24"/>
    <n v="5"/>
    <s v="Cloudy"/>
    <n v="0"/>
    <n v="47.84"/>
    <x v="0"/>
  </r>
  <r>
    <d v="2022-01-03T00:00:00"/>
    <s v="S003"/>
    <s v="P0020"/>
    <x v="1"/>
    <x v="1"/>
    <n v="257"/>
    <n v="131"/>
    <n v="103"/>
    <n v="123.65"/>
    <n v="16.350000000000001"/>
    <n v="15"/>
    <s v="Cloudy"/>
    <n v="0"/>
    <n v="19.59"/>
    <x v="0"/>
  </r>
  <r>
    <d v="2022-01-03T00:00:00"/>
    <s v="S004"/>
    <s v="P0001"/>
    <x v="0"/>
    <x v="3"/>
    <n v="175"/>
    <n v="66"/>
    <n v="140"/>
    <n v="56.84"/>
    <n v="83.63"/>
    <n v="15"/>
    <s v="Sunny"/>
    <n v="0"/>
    <n v="79.900000000000006"/>
    <x v="1"/>
  </r>
  <r>
    <d v="2022-01-03T00:00:00"/>
    <s v="S004"/>
    <s v="P0002"/>
    <x v="0"/>
    <x v="2"/>
    <n v="228"/>
    <n v="163"/>
    <n v="161"/>
    <n v="161.47999999999999"/>
    <n v="81.569999999999993"/>
    <n v="0"/>
    <s v="Cloudy"/>
    <n v="1"/>
    <n v="77.66"/>
    <x v="2"/>
  </r>
  <r>
    <d v="2022-01-03T00:00:00"/>
    <s v="S004"/>
    <s v="P0003"/>
    <x v="4"/>
    <x v="1"/>
    <n v="188"/>
    <n v="98"/>
    <n v="176"/>
    <n v="98.87"/>
    <n v="44.68"/>
    <n v="10"/>
    <s v="Snowy"/>
    <n v="0"/>
    <n v="42.55"/>
    <x v="3"/>
  </r>
  <r>
    <d v="2022-01-03T00:00:00"/>
    <s v="S004"/>
    <s v="P0004"/>
    <x v="0"/>
    <x v="3"/>
    <n v="211"/>
    <n v="150"/>
    <n v="20"/>
    <n v="167.75"/>
    <n v="60.11"/>
    <n v="0"/>
    <s v="Rainy"/>
    <n v="1"/>
    <n v="62.3"/>
    <x v="1"/>
  </r>
  <r>
    <d v="2022-01-03T00:00:00"/>
    <s v="S004"/>
    <s v="P0005"/>
    <x v="3"/>
    <x v="0"/>
    <n v="149"/>
    <n v="15"/>
    <n v="60"/>
    <n v="21.91"/>
    <n v="24.63"/>
    <n v="20"/>
    <s v="Snowy"/>
    <n v="0"/>
    <n v="27.97"/>
    <x v="2"/>
  </r>
  <r>
    <d v="2022-01-03T00:00:00"/>
    <s v="S004"/>
    <s v="P0006"/>
    <x v="2"/>
    <x v="0"/>
    <n v="383"/>
    <n v="36"/>
    <n v="75"/>
    <n v="26.89"/>
    <n v="36.31"/>
    <n v="5"/>
    <s v="Cloudy"/>
    <n v="1"/>
    <n v="34.82"/>
    <x v="0"/>
  </r>
  <r>
    <d v="2022-01-03T00:00:00"/>
    <s v="S004"/>
    <s v="P0007"/>
    <x v="2"/>
    <x v="3"/>
    <n v="478"/>
    <n v="303"/>
    <n v="153"/>
    <n v="307.7"/>
    <n v="11.36"/>
    <n v="15"/>
    <s v="Cloudy"/>
    <n v="1"/>
    <n v="15.64"/>
    <x v="0"/>
  </r>
  <r>
    <d v="2022-01-03T00:00:00"/>
    <s v="S004"/>
    <s v="P0008"/>
    <x v="2"/>
    <x v="3"/>
    <n v="217"/>
    <n v="209"/>
    <n v="35"/>
    <n v="215.04"/>
    <n v="63.1"/>
    <n v="10"/>
    <s v="Rainy"/>
    <n v="1"/>
    <n v="65.17"/>
    <x v="2"/>
  </r>
  <r>
    <d v="2022-01-03T00:00:00"/>
    <s v="S004"/>
    <s v="P0009"/>
    <x v="2"/>
    <x v="2"/>
    <n v="73"/>
    <n v="69"/>
    <n v="65"/>
    <n v="68.510000000000005"/>
    <n v="30.82"/>
    <n v="20"/>
    <s v="Sunny"/>
    <n v="0"/>
    <n v="35.26"/>
    <x v="2"/>
  </r>
  <r>
    <d v="2022-01-03T00:00:00"/>
    <s v="S004"/>
    <s v="P0010"/>
    <x v="2"/>
    <x v="2"/>
    <n v="467"/>
    <n v="143"/>
    <n v="183"/>
    <n v="139.44"/>
    <n v="23.73"/>
    <n v="0"/>
    <s v="Snowy"/>
    <n v="0"/>
    <n v="21.84"/>
    <x v="2"/>
  </r>
  <r>
    <d v="2022-01-03T00:00:00"/>
    <s v="S004"/>
    <s v="P0011"/>
    <x v="4"/>
    <x v="2"/>
    <n v="353"/>
    <n v="239"/>
    <n v="44"/>
    <n v="255.26"/>
    <n v="29.49"/>
    <n v="5"/>
    <s v="Sunny"/>
    <n v="0"/>
    <n v="31.68"/>
    <x v="2"/>
  </r>
  <r>
    <d v="2022-01-03T00:00:00"/>
    <s v="S004"/>
    <s v="P0012"/>
    <x v="0"/>
    <x v="0"/>
    <n v="471"/>
    <n v="192"/>
    <n v="115"/>
    <n v="188.72"/>
    <n v="74.42"/>
    <n v="15"/>
    <s v="Cloudy"/>
    <n v="1"/>
    <n v="75.61"/>
    <x v="0"/>
  </r>
  <r>
    <d v="2022-01-03T00:00:00"/>
    <s v="S004"/>
    <s v="P0013"/>
    <x v="4"/>
    <x v="1"/>
    <n v="129"/>
    <n v="23"/>
    <n v="92"/>
    <n v="38.86"/>
    <n v="58.3"/>
    <n v="20"/>
    <s v="Rainy"/>
    <n v="1"/>
    <n v="59.12"/>
    <x v="0"/>
  </r>
  <r>
    <d v="2022-01-03T00:00:00"/>
    <s v="S004"/>
    <s v="P0014"/>
    <x v="0"/>
    <x v="3"/>
    <n v="301"/>
    <n v="165"/>
    <n v="34"/>
    <n v="160.46"/>
    <n v="60.58"/>
    <n v="0"/>
    <s v="Sunny"/>
    <n v="1"/>
    <n v="58.02"/>
    <x v="2"/>
  </r>
  <r>
    <d v="2022-01-03T00:00:00"/>
    <s v="S004"/>
    <s v="P0015"/>
    <x v="0"/>
    <x v="1"/>
    <n v="423"/>
    <n v="85"/>
    <n v="73"/>
    <n v="95.5"/>
    <n v="73.48"/>
    <n v="0"/>
    <s v="Rainy"/>
    <n v="0"/>
    <n v="77"/>
    <x v="3"/>
  </r>
  <r>
    <d v="2022-01-03T00:00:00"/>
    <s v="S004"/>
    <s v="P0016"/>
    <x v="0"/>
    <x v="3"/>
    <n v="385"/>
    <n v="79"/>
    <n v="130"/>
    <n v="86.62"/>
    <n v="16.18"/>
    <n v="10"/>
    <s v="Cloudy"/>
    <n v="0"/>
    <n v="18.350000000000001"/>
    <x v="3"/>
  </r>
  <r>
    <d v="2022-01-03T00:00:00"/>
    <s v="S004"/>
    <s v="P0017"/>
    <x v="1"/>
    <x v="0"/>
    <n v="74"/>
    <n v="33"/>
    <n v="29"/>
    <n v="43.64"/>
    <n v="38.520000000000003"/>
    <n v="15"/>
    <s v="Rainy"/>
    <n v="0"/>
    <n v="39.57"/>
    <x v="3"/>
  </r>
  <r>
    <d v="2022-01-03T00:00:00"/>
    <s v="S004"/>
    <s v="P0018"/>
    <x v="2"/>
    <x v="1"/>
    <n v="467"/>
    <n v="270"/>
    <n v="108"/>
    <n v="270.37"/>
    <n v="46.93"/>
    <n v="0"/>
    <s v="Snowy"/>
    <n v="0"/>
    <n v="46.83"/>
    <x v="2"/>
  </r>
  <r>
    <d v="2022-01-03T00:00:00"/>
    <s v="S004"/>
    <s v="P0019"/>
    <x v="1"/>
    <x v="0"/>
    <n v="140"/>
    <n v="1"/>
    <n v="47"/>
    <n v="-3.91"/>
    <n v="80.41"/>
    <n v="0"/>
    <s v="Snowy"/>
    <n v="0"/>
    <n v="76.900000000000006"/>
    <x v="2"/>
  </r>
  <r>
    <d v="2022-01-03T00:00:00"/>
    <s v="S004"/>
    <s v="P0020"/>
    <x v="4"/>
    <x v="3"/>
    <n v="197"/>
    <n v="149"/>
    <n v="134"/>
    <n v="161.19999999999999"/>
    <n v="95.33"/>
    <n v="20"/>
    <s v="Cloudy"/>
    <n v="0"/>
    <n v="97.42"/>
    <x v="2"/>
  </r>
  <r>
    <d v="2022-01-03T00:00:00"/>
    <s v="S005"/>
    <s v="P0001"/>
    <x v="0"/>
    <x v="0"/>
    <n v="159"/>
    <n v="3"/>
    <n v="145"/>
    <n v="18.12"/>
    <n v="36.299999999999997"/>
    <n v="0"/>
    <s v="Snowy"/>
    <n v="0"/>
    <n v="34.96"/>
    <x v="2"/>
  </r>
  <r>
    <d v="2022-01-03T00:00:00"/>
    <s v="S005"/>
    <s v="P0002"/>
    <x v="2"/>
    <x v="0"/>
    <n v="322"/>
    <n v="59"/>
    <n v="111"/>
    <n v="78.349999999999994"/>
    <n v="82.08"/>
    <n v="10"/>
    <s v="Sunny"/>
    <n v="1"/>
    <n v="84.13"/>
    <x v="3"/>
  </r>
  <r>
    <d v="2022-01-03T00:00:00"/>
    <s v="S005"/>
    <s v="P0003"/>
    <x v="0"/>
    <x v="3"/>
    <n v="106"/>
    <n v="15"/>
    <n v="101"/>
    <n v="25.13"/>
    <n v="46.4"/>
    <n v="20"/>
    <s v="Snowy"/>
    <n v="0"/>
    <n v="49.42"/>
    <x v="1"/>
  </r>
  <r>
    <d v="2022-01-03T00:00:00"/>
    <s v="S005"/>
    <s v="P0004"/>
    <x v="0"/>
    <x v="1"/>
    <n v="475"/>
    <n v="351"/>
    <n v="132"/>
    <n v="358.12"/>
    <n v="59.76"/>
    <n v="5"/>
    <s v="Cloudy"/>
    <n v="0"/>
    <n v="57.14"/>
    <x v="3"/>
  </r>
  <r>
    <d v="2022-01-03T00:00:00"/>
    <s v="S005"/>
    <s v="P0005"/>
    <x v="0"/>
    <x v="0"/>
    <n v="83"/>
    <n v="66"/>
    <n v="57"/>
    <n v="63.37"/>
    <n v="60.35"/>
    <n v="20"/>
    <s v="Sunny"/>
    <n v="1"/>
    <n v="60.81"/>
    <x v="2"/>
  </r>
  <r>
    <d v="2022-01-03T00:00:00"/>
    <s v="S005"/>
    <s v="P0006"/>
    <x v="0"/>
    <x v="2"/>
    <n v="117"/>
    <n v="62"/>
    <n v="58"/>
    <n v="59.04"/>
    <n v="40.61"/>
    <n v="10"/>
    <s v="Snowy"/>
    <n v="1"/>
    <n v="44.37"/>
    <x v="0"/>
  </r>
  <r>
    <d v="2022-01-03T00:00:00"/>
    <s v="S005"/>
    <s v="P0007"/>
    <x v="4"/>
    <x v="2"/>
    <n v="368"/>
    <n v="77"/>
    <n v="44"/>
    <n v="95.69"/>
    <n v="63.61"/>
    <n v="5"/>
    <s v="Rainy"/>
    <n v="1"/>
    <n v="63.81"/>
    <x v="2"/>
  </r>
  <r>
    <d v="2022-01-03T00:00:00"/>
    <s v="S005"/>
    <s v="P0008"/>
    <x v="2"/>
    <x v="1"/>
    <n v="207"/>
    <n v="177"/>
    <n v="154"/>
    <n v="173.93"/>
    <n v="97.09"/>
    <n v="5"/>
    <s v="Snowy"/>
    <n v="1"/>
    <n v="95.17"/>
    <x v="1"/>
  </r>
  <r>
    <d v="2022-01-03T00:00:00"/>
    <s v="S005"/>
    <s v="P0009"/>
    <x v="2"/>
    <x v="2"/>
    <n v="398"/>
    <n v="349"/>
    <n v="98"/>
    <n v="350.47"/>
    <n v="52.72"/>
    <n v="10"/>
    <s v="Sunny"/>
    <n v="0"/>
    <n v="55.74"/>
    <x v="2"/>
  </r>
  <r>
    <d v="2022-01-03T00:00:00"/>
    <s v="S005"/>
    <s v="P0010"/>
    <x v="0"/>
    <x v="0"/>
    <n v="476"/>
    <n v="74"/>
    <n v="25"/>
    <n v="91.48"/>
    <n v="14.41"/>
    <n v="20"/>
    <s v="Sunny"/>
    <n v="1"/>
    <n v="11.25"/>
    <x v="3"/>
  </r>
  <r>
    <d v="2022-01-03T00:00:00"/>
    <s v="S005"/>
    <s v="P0011"/>
    <x v="0"/>
    <x v="0"/>
    <n v="119"/>
    <n v="40"/>
    <n v="151"/>
    <n v="43.92"/>
    <n v="74.14"/>
    <n v="0"/>
    <s v="Cloudy"/>
    <n v="1"/>
    <n v="69.67"/>
    <x v="2"/>
  </r>
  <r>
    <d v="2022-01-03T00:00:00"/>
    <s v="S005"/>
    <s v="P0012"/>
    <x v="1"/>
    <x v="0"/>
    <n v="77"/>
    <n v="72"/>
    <n v="27"/>
    <n v="68.010000000000005"/>
    <n v="46.94"/>
    <n v="20"/>
    <s v="Rainy"/>
    <n v="1"/>
    <n v="46.58"/>
    <x v="2"/>
  </r>
  <r>
    <d v="2022-01-03T00:00:00"/>
    <s v="S005"/>
    <s v="P0013"/>
    <x v="1"/>
    <x v="1"/>
    <n v="191"/>
    <n v="190"/>
    <n v="126"/>
    <n v="205.54"/>
    <n v="23.04"/>
    <n v="5"/>
    <s v="Snowy"/>
    <n v="0"/>
    <n v="19.329999999999998"/>
    <x v="0"/>
  </r>
  <r>
    <d v="2022-01-03T00:00:00"/>
    <s v="S005"/>
    <s v="P0014"/>
    <x v="1"/>
    <x v="0"/>
    <n v="419"/>
    <n v="263"/>
    <n v="189"/>
    <n v="263.83"/>
    <n v="28.02"/>
    <n v="5"/>
    <s v="Sunny"/>
    <n v="1"/>
    <n v="23.72"/>
    <x v="0"/>
  </r>
  <r>
    <d v="2022-01-03T00:00:00"/>
    <s v="S005"/>
    <s v="P0015"/>
    <x v="1"/>
    <x v="1"/>
    <n v="184"/>
    <n v="126"/>
    <n v="175"/>
    <n v="143.76"/>
    <n v="86.82"/>
    <n v="20"/>
    <s v="Cloudy"/>
    <n v="0"/>
    <n v="85.26"/>
    <x v="0"/>
  </r>
  <r>
    <d v="2022-01-03T00:00:00"/>
    <s v="S005"/>
    <s v="P0016"/>
    <x v="4"/>
    <x v="0"/>
    <n v="361"/>
    <n v="17"/>
    <n v="171"/>
    <n v="25.61"/>
    <n v="80.31"/>
    <n v="5"/>
    <s v="Cloudy"/>
    <n v="1"/>
    <n v="76.56"/>
    <x v="3"/>
  </r>
  <r>
    <d v="2022-01-03T00:00:00"/>
    <s v="S005"/>
    <s v="P0017"/>
    <x v="1"/>
    <x v="3"/>
    <n v="154"/>
    <n v="19"/>
    <n v="116"/>
    <n v="37.450000000000003"/>
    <n v="41.28"/>
    <n v="10"/>
    <s v="Rainy"/>
    <n v="0"/>
    <n v="40.590000000000003"/>
    <x v="3"/>
  </r>
  <r>
    <d v="2022-01-03T00:00:00"/>
    <s v="S005"/>
    <s v="P0018"/>
    <x v="1"/>
    <x v="0"/>
    <n v="376"/>
    <n v="36"/>
    <n v="53"/>
    <n v="43.47"/>
    <n v="38.42"/>
    <n v="0"/>
    <s v="Snowy"/>
    <n v="1"/>
    <n v="35.979999999999997"/>
    <x v="2"/>
  </r>
  <r>
    <d v="2022-01-03T00:00:00"/>
    <s v="S005"/>
    <s v="P0019"/>
    <x v="1"/>
    <x v="0"/>
    <n v="268"/>
    <n v="207"/>
    <n v="177"/>
    <n v="198.44"/>
    <n v="59.93"/>
    <n v="20"/>
    <s v="Snowy"/>
    <n v="0"/>
    <n v="64.67"/>
    <x v="0"/>
  </r>
  <r>
    <d v="2022-01-03T00:00:00"/>
    <s v="S005"/>
    <s v="P0020"/>
    <x v="1"/>
    <x v="1"/>
    <n v="451"/>
    <n v="91"/>
    <n v="193"/>
    <n v="99.88"/>
    <n v="66.760000000000005"/>
    <n v="5"/>
    <s v="Sunny"/>
    <n v="0"/>
    <n v="62.53"/>
    <x v="1"/>
  </r>
  <r>
    <d v="2022-01-04T00:00:00"/>
    <s v="S001"/>
    <s v="P0001"/>
    <x v="0"/>
    <x v="1"/>
    <n v="85"/>
    <n v="58"/>
    <n v="193"/>
    <n v="52.87"/>
    <n v="77.88"/>
    <n v="15"/>
    <s v="Cloudy"/>
    <n v="1"/>
    <n v="75.989999999999995"/>
    <x v="2"/>
  </r>
  <r>
    <d v="2022-01-04T00:00:00"/>
    <s v="S001"/>
    <s v="P0002"/>
    <x v="2"/>
    <x v="0"/>
    <n v="91"/>
    <n v="91"/>
    <n v="142"/>
    <n v="82.65"/>
    <n v="88.22"/>
    <n v="15"/>
    <s v="Sunny"/>
    <n v="1"/>
    <n v="87.44"/>
    <x v="0"/>
  </r>
  <r>
    <d v="2022-01-04T00:00:00"/>
    <s v="S001"/>
    <s v="P0003"/>
    <x v="1"/>
    <x v="1"/>
    <n v="184"/>
    <n v="70"/>
    <n v="191"/>
    <n v="82.51"/>
    <n v="10.55"/>
    <n v="15"/>
    <s v="Cloudy"/>
    <n v="0"/>
    <n v="7.6"/>
    <x v="2"/>
  </r>
  <r>
    <d v="2022-01-04T00:00:00"/>
    <s v="S001"/>
    <s v="P0004"/>
    <x v="2"/>
    <x v="0"/>
    <n v="209"/>
    <n v="0"/>
    <n v="123"/>
    <n v="15.37"/>
    <n v="44.81"/>
    <n v="5"/>
    <s v="Sunny"/>
    <n v="1"/>
    <n v="45.53"/>
    <x v="2"/>
  </r>
  <r>
    <d v="2022-01-04T00:00:00"/>
    <s v="S001"/>
    <s v="P0005"/>
    <x v="2"/>
    <x v="3"/>
    <n v="470"/>
    <n v="32"/>
    <n v="192"/>
    <n v="45.57"/>
    <n v="69.650000000000006"/>
    <n v="10"/>
    <s v="Snowy"/>
    <n v="0"/>
    <n v="73.5"/>
    <x v="3"/>
  </r>
  <r>
    <d v="2022-01-04T00:00:00"/>
    <s v="S001"/>
    <s v="P0006"/>
    <x v="4"/>
    <x v="1"/>
    <n v="127"/>
    <n v="8"/>
    <n v="84"/>
    <n v="0.54"/>
    <n v="53.35"/>
    <n v="20"/>
    <s v="Cloudy"/>
    <n v="0"/>
    <n v="55.07"/>
    <x v="3"/>
  </r>
  <r>
    <d v="2022-01-04T00:00:00"/>
    <s v="S001"/>
    <s v="P0007"/>
    <x v="0"/>
    <x v="0"/>
    <n v="367"/>
    <n v="341"/>
    <n v="39"/>
    <n v="336.71"/>
    <n v="33.47"/>
    <n v="5"/>
    <s v="Cloudy"/>
    <n v="0"/>
    <n v="28.95"/>
    <x v="3"/>
  </r>
  <r>
    <d v="2022-01-04T00:00:00"/>
    <s v="S001"/>
    <s v="P0008"/>
    <x v="2"/>
    <x v="3"/>
    <n v="404"/>
    <n v="347"/>
    <n v="183"/>
    <n v="350.96"/>
    <n v="61.1"/>
    <n v="20"/>
    <s v="Sunny"/>
    <n v="0"/>
    <n v="58.46"/>
    <x v="2"/>
  </r>
  <r>
    <d v="2022-01-04T00:00:00"/>
    <s v="S001"/>
    <s v="P0009"/>
    <x v="0"/>
    <x v="0"/>
    <n v="403"/>
    <n v="15"/>
    <n v="187"/>
    <n v="26.72"/>
    <n v="45.25"/>
    <n v="10"/>
    <s v="Sunny"/>
    <n v="0"/>
    <n v="46.74"/>
    <x v="1"/>
  </r>
  <r>
    <d v="2022-01-04T00:00:00"/>
    <s v="S001"/>
    <s v="P0010"/>
    <x v="1"/>
    <x v="3"/>
    <n v="494"/>
    <n v="85"/>
    <n v="122"/>
    <n v="92.86"/>
    <n v="94.98"/>
    <n v="20"/>
    <s v="Rainy"/>
    <n v="0"/>
    <n v="98.87"/>
    <x v="0"/>
  </r>
  <r>
    <d v="2022-01-04T00:00:00"/>
    <s v="S001"/>
    <s v="P0011"/>
    <x v="1"/>
    <x v="1"/>
    <n v="421"/>
    <n v="30"/>
    <n v="33"/>
    <n v="49.2"/>
    <n v="24.21"/>
    <n v="0"/>
    <s v="Sunny"/>
    <n v="0"/>
    <n v="25.48"/>
    <x v="3"/>
  </r>
  <r>
    <d v="2022-01-04T00:00:00"/>
    <s v="S001"/>
    <s v="P0012"/>
    <x v="2"/>
    <x v="2"/>
    <n v="150"/>
    <n v="136"/>
    <n v="129"/>
    <n v="140.63999999999999"/>
    <n v="66.069999999999993"/>
    <n v="5"/>
    <s v="Snowy"/>
    <n v="0"/>
    <n v="70.84"/>
    <x v="2"/>
  </r>
  <r>
    <d v="2022-01-04T00:00:00"/>
    <s v="S001"/>
    <s v="P0013"/>
    <x v="1"/>
    <x v="0"/>
    <n v="94"/>
    <n v="31"/>
    <n v="174"/>
    <n v="46.7"/>
    <n v="34.68"/>
    <n v="10"/>
    <s v="Sunny"/>
    <n v="0"/>
    <n v="33.729999999999997"/>
    <x v="2"/>
  </r>
  <r>
    <d v="2022-01-04T00:00:00"/>
    <s v="S001"/>
    <s v="P0014"/>
    <x v="4"/>
    <x v="3"/>
    <n v="77"/>
    <n v="7"/>
    <n v="76"/>
    <n v="22.66"/>
    <n v="98.28"/>
    <n v="15"/>
    <s v="Cloudy"/>
    <n v="1"/>
    <n v="95.38"/>
    <x v="3"/>
  </r>
  <r>
    <d v="2022-01-04T00:00:00"/>
    <s v="S001"/>
    <s v="P0015"/>
    <x v="2"/>
    <x v="2"/>
    <n v="430"/>
    <n v="377"/>
    <n v="118"/>
    <n v="371.89"/>
    <n v="87.24"/>
    <n v="10"/>
    <s v="Cloudy"/>
    <n v="1"/>
    <n v="88.66"/>
    <x v="3"/>
  </r>
  <r>
    <d v="2022-01-04T00:00:00"/>
    <s v="S001"/>
    <s v="P0016"/>
    <x v="0"/>
    <x v="0"/>
    <n v="168"/>
    <n v="28"/>
    <n v="32"/>
    <n v="33.200000000000003"/>
    <n v="93.4"/>
    <n v="10"/>
    <s v="Sunny"/>
    <n v="0"/>
    <n v="93.22"/>
    <x v="1"/>
  </r>
  <r>
    <d v="2022-01-04T00:00:00"/>
    <s v="S001"/>
    <s v="P0017"/>
    <x v="1"/>
    <x v="2"/>
    <n v="353"/>
    <n v="348"/>
    <n v="36"/>
    <n v="349.59"/>
    <n v="53.02"/>
    <n v="0"/>
    <s v="Cloudy"/>
    <n v="1"/>
    <n v="57.08"/>
    <x v="0"/>
  </r>
  <r>
    <d v="2022-01-04T00:00:00"/>
    <s v="S001"/>
    <s v="P0018"/>
    <x v="0"/>
    <x v="1"/>
    <n v="380"/>
    <n v="258"/>
    <n v="66"/>
    <n v="258.58"/>
    <n v="58.54"/>
    <n v="5"/>
    <s v="Sunny"/>
    <n v="1"/>
    <n v="60.77"/>
    <x v="1"/>
  </r>
  <r>
    <d v="2022-01-04T00:00:00"/>
    <s v="S001"/>
    <s v="P0019"/>
    <x v="1"/>
    <x v="2"/>
    <n v="127"/>
    <n v="41"/>
    <n v="191"/>
    <n v="50.38"/>
    <n v="63.29"/>
    <n v="15"/>
    <s v="Sunny"/>
    <n v="1"/>
    <n v="61.73"/>
    <x v="0"/>
  </r>
  <r>
    <d v="2022-01-04T00:00:00"/>
    <s v="S001"/>
    <s v="P0020"/>
    <x v="2"/>
    <x v="0"/>
    <n v="153"/>
    <n v="49"/>
    <n v="139"/>
    <n v="44.55"/>
    <n v="10.93"/>
    <n v="0"/>
    <s v="Snowy"/>
    <n v="1"/>
    <n v="10.76"/>
    <x v="2"/>
  </r>
  <r>
    <d v="2022-01-04T00:00:00"/>
    <s v="S002"/>
    <s v="P0001"/>
    <x v="4"/>
    <x v="0"/>
    <n v="108"/>
    <n v="83"/>
    <n v="25"/>
    <n v="85.5"/>
    <n v="45.49"/>
    <n v="5"/>
    <s v="Sunny"/>
    <n v="1"/>
    <n v="44.33"/>
    <x v="3"/>
  </r>
  <r>
    <d v="2022-01-04T00:00:00"/>
    <s v="S002"/>
    <s v="P0002"/>
    <x v="3"/>
    <x v="2"/>
    <n v="109"/>
    <n v="60"/>
    <n v="172"/>
    <n v="71.47"/>
    <n v="52.33"/>
    <n v="10"/>
    <s v="Cloudy"/>
    <n v="1"/>
    <n v="51.78"/>
    <x v="1"/>
  </r>
  <r>
    <d v="2022-01-04T00:00:00"/>
    <s v="S002"/>
    <s v="P0003"/>
    <x v="1"/>
    <x v="0"/>
    <n v="493"/>
    <n v="448"/>
    <n v="113"/>
    <n v="459.44"/>
    <n v="41.55"/>
    <n v="15"/>
    <s v="Rainy"/>
    <n v="0"/>
    <n v="44.02"/>
    <x v="2"/>
  </r>
  <r>
    <d v="2022-01-04T00:00:00"/>
    <s v="S002"/>
    <s v="P0004"/>
    <x v="1"/>
    <x v="3"/>
    <n v="289"/>
    <n v="11"/>
    <n v="21"/>
    <n v="26.96"/>
    <n v="58.13"/>
    <n v="0"/>
    <s v="Sunny"/>
    <n v="1"/>
    <n v="61.63"/>
    <x v="1"/>
  </r>
  <r>
    <d v="2022-01-04T00:00:00"/>
    <s v="S002"/>
    <s v="P0005"/>
    <x v="0"/>
    <x v="3"/>
    <n v="425"/>
    <n v="390"/>
    <n v="175"/>
    <n v="407.4"/>
    <n v="25.67"/>
    <n v="10"/>
    <s v="Snowy"/>
    <n v="0"/>
    <n v="23.55"/>
    <x v="3"/>
  </r>
  <r>
    <d v="2022-01-04T00:00:00"/>
    <s v="S002"/>
    <s v="P0006"/>
    <x v="4"/>
    <x v="2"/>
    <n v="118"/>
    <n v="81"/>
    <n v="139"/>
    <n v="88.67"/>
    <n v="33.96"/>
    <n v="0"/>
    <s v="Sunny"/>
    <n v="0"/>
    <n v="29.22"/>
    <x v="1"/>
  </r>
  <r>
    <d v="2022-01-04T00:00:00"/>
    <s v="S002"/>
    <s v="P0007"/>
    <x v="2"/>
    <x v="0"/>
    <n v="449"/>
    <n v="121"/>
    <n v="118"/>
    <n v="132.54"/>
    <n v="81.349999999999994"/>
    <n v="20"/>
    <s v="Cloudy"/>
    <n v="0"/>
    <n v="82.18"/>
    <x v="3"/>
  </r>
  <r>
    <d v="2022-01-04T00:00:00"/>
    <s v="S002"/>
    <s v="P0008"/>
    <x v="0"/>
    <x v="2"/>
    <n v="184"/>
    <n v="44"/>
    <n v="152"/>
    <n v="52.26"/>
    <n v="57.34"/>
    <n v="20"/>
    <s v="Rainy"/>
    <n v="0"/>
    <n v="56.99"/>
    <x v="3"/>
  </r>
  <r>
    <d v="2022-01-04T00:00:00"/>
    <s v="S002"/>
    <s v="P0009"/>
    <x v="1"/>
    <x v="3"/>
    <n v="239"/>
    <n v="88"/>
    <n v="31"/>
    <n v="104.13"/>
    <n v="50.36"/>
    <n v="15"/>
    <s v="Cloudy"/>
    <n v="0"/>
    <n v="47.77"/>
    <x v="2"/>
  </r>
  <r>
    <d v="2022-01-04T00:00:00"/>
    <s v="S002"/>
    <s v="P0010"/>
    <x v="0"/>
    <x v="2"/>
    <n v="216"/>
    <n v="142"/>
    <n v="172"/>
    <n v="138.75"/>
    <n v="51.34"/>
    <n v="15"/>
    <s v="Rainy"/>
    <n v="1"/>
    <n v="53.35"/>
    <x v="0"/>
  </r>
  <r>
    <d v="2022-01-04T00:00:00"/>
    <s v="S002"/>
    <s v="P0011"/>
    <x v="1"/>
    <x v="0"/>
    <n v="291"/>
    <n v="48"/>
    <n v="69"/>
    <n v="48.65"/>
    <n v="13.09"/>
    <n v="20"/>
    <s v="Snowy"/>
    <n v="1"/>
    <n v="11.98"/>
    <x v="1"/>
  </r>
  <r>
    <d v="2022-01-04T00:00:00"/>
    <s v="S002"/>
    <s v="P0012"/>
    <x v="2"/>
    <x v="0"/>
    <n v="74"/>
    <n v="61"/>
    <n v="87"/>
    <n v="67.72"/>
    <n v="94.85"/>
    <n v="0"/>
    <s v="Cloudy"/>
    <n v="0"/>
    <n v="93.92"/>
    <x v="2"/>
  </r>
  <r>
    <d v="2022-01-04T00:00:00"/>
    <s v="S002"/>
    <s v="P0013"/>
    <x v="2"/>
    <x v="3"/>
    <n v="429"/>
    <n v="140"/>
    <n v="180"/>
    <n v="151.22"/>
    <n v="16.47"/>
    <n v="5"/>
    <s v="Sunny"/>
    <n v="0"/>
    <n v="17.47"/>
    <x v="1"/>
  </r>
  <r>
    <d v="2022-01-04T00:00:00"/>
    <s v="S002"/>
    <s v="P0014"/>
    <x v="1"/>
    <x v="2"/>
    <n v="467"/>
    <n v="390"/>
    <n v="188"/>
    <n v="408.18"/>
    <n v="82.15"/>
    <n v="15"/>
    <s v="Cloudy"/>
    <n v="1"/>
    <n v="79.63"/>
    <x v="1"/>
  </r>
  <r>
    <d v="2022-01-04T00:00:00"/>
    <s v="S002"/>
    <s v="P0015"/>
    <x v="1"/>
    <x v="0"/>
    <n v="121"/>
    <n v="91"/>
    <n v="197"/>
    <n v="93.99"/>
    <n v="61.13"/>
    <n v="5"/>
    <s v="Rainy"/>
    <n v="0"/>
    <n v="62.56"/>
    <x v="1"/>
  </r>
  <r>
    <d v="2022-01-04T00:00:00"/>
    <s v="S002"/>
    <s v="P0016"/>
    <x v="0"/>
    <x v="3"/>
    <n v="134"/>
    <n v="32"/>
    <n v="107"/>
    <n v="32.03"/>
    <n v="63.74"/>
    <n v="10"/>
    <s v="Snowy"/>
    <n v="0"/>
    <n v="61.83"/>
    <x v="2"/>
  </r>
  <r>
    <d v="2022-01-04T00:00:00"/>
    <s v="S002"/>
    <s v="P0017"/>
    <x v="2"/>
    <x v="3"/>
    <n v="152"/>
    <n v="60"/>
    <n v="92"/>
    <n v="54.96"/>
    <n v="66.78"/>
    <n v="10"/>
    <s v="Snowy"/>
    <n v="1"/>
    <n v="67.89"/>
    <x v="2"/>
  </r>
  <r>
    <d v="2022-01-04T00:00:00"/>
    <s v="S002"/>
    <s v="P0018"/>
    <x v="4"/>
    <x v="1"/>
    <n v="236"/>
    <n v="206"/>
    <n v="63"/>
    <n v="220.44"/>
    <n v="30.12"/>
    <n v="15"/>
    <s v="Sunny"/>
    <n v="1"/>
    <n v="27.89"/>
    <x v="2"/>
  </r>
  <r>
    <d v="2022-01-04T00:00:00"/>
    <s v="S002"/>
    <s v="P0019"/>
    <x v="0"/>
    <x v="2"/>
    <n v="253"/>
    <n v="108"/>
    <n v="36"/>
    <n v="107.84"/>
    <n v="31.26"/>
    <n v="10"/>
    <s v="Sunny"/>
    <n v="1"/>
    <n v="33.520000000000003"/>
    <x v="1"/>
  </r>
  <r>
    <d v="2022-01-04T00:00:00"/>
    <s v="S002"/>
    <s v="P0020"/>
    <x v="3"/>
    <x v="3"/>
    <n v="403"/>
    <n v="349"/>
    <n v="42"/>
    <n v="340.49"/>
    <n v="21.47"/>
    <n v="0"/>
    <s v="Rainy"/>
    <n v="0"/>
    <n v="17.22"/>
    <x v="2"/>
  </r>
  <r>
    <d v="2022-01-04T00:00:00"/>
    <s v="S003"/>
    <s v="P0001"/>
    <x v="3"/>
    <x v="1"/>
    <n v="335"/>
    <n v="271"/>
    <n v="147"/>
    <n v="276.13"/>
    <n v="81.010000000000005"/>
    <n v="20"/>
    <s v="Rainy"/>
    <n v="0"/>
    <n v="83.63"/>
    <x v="1"/>
  </r>
  <r>
    <d v="2022-01-04T00:00:00"/>
    <s v="S003"/>
    <s v="P0002"/>
    <x v="2"/>
    <x v="1"/>
    <n v="293"/>
    <n v="202"/>
    <n v="130"/>
    <n v="215.12"/>
    <n v="59.97"/>
    <n v="5"/>
    <s v="Snowy"/>
    <n v="1"/>
    <n v="61.76"/>
    <x v="3"/>
  </r>
  <r>
    <d v="2022-01-04T00:00:00"/>
    <s v="S003"/>
    <s v="P0003"/>
    <x v="1"/>
    <x v="0"/>
    <n v="169"/>
    <n v="34"/>
    <n v="91"/>
    <n v="24.17"/>
    <n v="26.87"/>
    <n v="10"/>
    <s v="Snowy"/>
    <n v="0"/>
    <n v="30.53"/>
    <x v="1"/>
  </r>
  <r>
    <d v="2022-01-04T00:00:00"/>
    <s v="S003"/>
    <s v="P0004"/>
    <x v="4"/>
    <x v="2"/>
    <n v="294"/>
    <n v="165"/>
    <n v="43"/>
    <n v="164.1"/>
    <n v="99.12"/>
    <n v="10"/>
    <s v="Rainy"/>
    <n v="0"/>
    <n v="97.69"/>
    <x v="1"/>
  </r>
  <r>
    <d v="2022-01-04T00:00:00"/>
    <s v="S003"/>
    <s v="P0005"/>
    <x v="0"/>
    <x v="0"/>
    <n v="69"/>
    <n v="2"/>
    <n v="161"/>
    <n v="21.27"/>
    <n v="24.29"/>
    <n v="5"/>
    <s v="Rainy"/>
    <n v="0"/>
    <n v="25.5"/>
    <x v="1"/>
  </r>
  <r>
    <d v="2022-01-04T00:00:00"/>
    <s v="S003"/>
    <s v="P0006"/>
    <x v="2"/>
    <x v="3"/>
    <n v="328"/>
    <n v="308"/>
    <n v="113"/>
    <n v="323.67"/>
    <n v="18.48"/>
    <n v="0"/>
    <s v="Rainy"/>
    <n v="1"/>
    <n v="17.760000000000002"/>
    <x v="0"/>
  </r>
  <r>
    <d v="2022-01-04T00:00:00"/>
    <s v="S003"/>
    <s v="P0007"/>
    <x v="1"/>
    <x v="0"/>
    <n v="173"/>
    <n v="76"/>
    <n v="157"/>
    <n v="75.540000000000006"/>
    <n v="54.73"/>
    <n v="10"/>
    <s v="Snowy"/>
    <n v="1"/>
    <n v="52.32"/>
    <x v="3"/>
  </r>
  <r>
    <d v="2022-01-04T00:00:00"/>
    <s v="S003"/>
    <s v="P0008"/>
    <x v="1"/>
    <x v="3"/>
    <n v="108"/>
    <n v="91"/>
    <n v="129"/>
    <n v="95.55"/>
    <n v="59.61"/>
    <n v="5"/>
    <s v="Rainy"/>
    <n v="1"/>
    <n v="57.85"/>
    <x v="1"/>
  </r>
  <r>
    <d v="2022-01-04T00:00:00"/>
    <s v="S003"/>
    <s v="P0009"/>
    <x v="3"/>
    <x v="2"/>
    <n v="494"/>
    <n v="113"/>
    <n v="84"/>
    <n v="121.8"/>
    <n v="14.64"/>
    <n v="20"/>
    <s v="Cloudy"/>
    <n v="1"/>
    <n v="12.8"/>
    <x v="3"/>
  </r>
  <r>
    <d v="2022-01-04T00:00:00"/>
    <s v="S003"/>
    <s v="P0010"/>
    <x v="2"/>
    <x v="3"/>
    <n v="366"/>
    <n v="274"/>
    <n v="102"/>
    <n v="268.60000000000002"/>
    <n v="63.63"/>
    <n v="15"/>
    <s v="Cloudy"/>
    <n v="1"/>
    <n v="62.96"/>
    <x v="2"/>
  </r>
  <r>
    <d v="2022-01-04T00:00:00"/>
    <s v="S003"/>
    <s v="P0011"/>
    <x v="1"/>
    <x v="3"/>
    <n v="441"/>
    <n v="116"/>
    <n v="52"/>
    <n v="128.01"/>
    <n v="95.99"/>
    <n v="10"/>
    <s v="Sunny"/>
    <n v="0"/>
    <n v="95.78"/>
    <x v="0"/>
  </r>
  <r>
    <d v="2022-01-04T00:00:00"/>
    <s v="S003"/>
    <s v="P0012"/>
    <x v="2"/>
    <x v="0"/>
    <n v="181"/>
    <n v="5"/>
    <n v="37"/>
    <n v="18.13"/>
    <n v="75.41"/>
    <n v="5"/>
    <s v="Rainy"/>
    <n v="1"/>
    <n v="75.03"/>
    <x v="1"/>
  </r>
  <r>
    <d v="2022-01-04T00:00:00"/>
    <s v="S003"/>
    <s v="P0013"/>
    <x v="3"/>
    <x v="3"/>
    <n v="330"/>
    <n v="115"/>
    <n v="116"/>
    <n v="111.27"/>
    <n v="24.19"/>
    <n v="15"/>
    <s v="Rainy"/>
    <n v="1"/>
    <n v="28.03"/>
    <x v="0"/>
  </r>
  <r>
    <d v="2022-01-04T00:00:00"/>
    <s v="S003"/>
    <s v="P0014"/>
    <x v="4"/>
    <x v="3"/>
    <n v="228"/>
    <n v="79"/>
    <n v="158"/>
    <n v="75.88"/>
    <n v="85.33"/>
    <n v="0"/>
    <s v="Sunny"/>
    <n v="1"/>
    <n v="82.64"/>
    <x v="3"/>
  </r>
  <r>
    <d v="2022-01-04T00:00:00"/>
    <s v="S003"/>
    <s v="P0015"/>
    <x v="2"/>
    <x v="3"/>
    <n v="344"/>
    <n v="223"/>
    <n v="53"/>
    <n v="235.42"/>
    <n v="15.58"/>
    <n v="15"/>
    <s v="Cloudy"/>
    <n v="0"/>
    <n v="19.75"/>
    <x v="2"/>
  </r>
  <r>
    <d v="2022-01-04T00:00:00"/>
    <s v="S003"/>
    <s v="P0016"/>
    <x v="3"/>
    <x v="2"/>
    <n v="336"/>
    <n v="258"/>
    <n v="175"/>
    <n v="260.26"/>
    <n v="19.63"/>
    <n v="10"/>
    <s v="Cloudy"/>
    <n v="1"/>
    <n v="20.65"/>
    <x v="1"/>
  </r>
  <r>
    <d v="2022-01-04T00:00:00"/>
    <s v="S003"/>
    <s v="P0017"/>
    <x v="1"/>
    <x v="2"/>
    <n v="355"/>
    <n v="236"/>
    <n v="26"/>
    <n v="248.1"/>
    <n v="53.81"/>
    <n v="0"/>
    <s v="Rainy"/>
    <n v="0"/>
    <n v="49.72"/>
    <x v="2"/>
  </r>
  <r>
    <d v="2022-01-04T00:00:00"/>
    <s v="S003"/>
    <s v="P0018"/>
    <x v="1"/>
    <x v="0"/>
    <n v="431"/>
    <n v="309"/>
    <n v="165"/>
    <n v="323.61"/>
    <n v="37.49"/>
    <n v="20"/>
    <s v="Cloudy"/>
    <n v="0"/>
    <n v="40.659999999999997"/>
    <x v="0"/>
  </r>
  <r>
    <d v="2022-01-04T00:00:00"/>
    <s v="S003"/>
    <s v="P0019"/>
    <x v="0"/>
    <x v="0"/>
    <n v="172"/>
    <n v="32"/>
    <n v="160"/>
    <n v="26.96"/>
    <n v="38.200000000000003"/>
    <n v="0"/>
    <s v="Rainy"/>
    <n v="0"/>
    <n v="38.42"/>
    <x v="1"/>
  </r>
  <r>
    <d v="2022-01-04T00:00:00"/>
    <s v="S003"/>
    <s v="P0020"/>
    <x v="4"/>
    <x v="1"/>
    <n v="145"/>
    <n v="44"/>
    <n v="122"/>
    <n v="43.44"/>
    <n v="84.13"/>
    <n v="15"/>
    <s v="Snowy"/>
    <n v="1"/>
    <n v="84.05"/>
    <x v="2"/>
  </r>
  <r>
    <d v="2022-01-04T00:00:00"/>
    <s v="S004"/>
    <s v="P0001"/>
    <x v="3"/>
    <x v="1"/>
    <n v="487"/>
    <n v="145"/>
    <n v="149"/>
    <n v="154.43"/>
    <n v="20.39"/>
    <n v="15"/>
    <s v="Sunny"/>
    <n v="0"/>
    <n v="21.17"/>
    <x v="1"/>
  </r>
  <r>
    <d v="2022-01-04T00:00:00"/>
    <s v="S004"/>
    <s v="P0002"/>
    <x v="0"/>
    <x v="0"/>
    <n v="216"/>
    <n v="150"/>
    <n v="162"/>
    <n v="141.65"/>
    <n v="70.459999999999994"/>
    <n v="20"/>
    <s v="Sunny"/>
    <n v="1"/>
    <n v="66.42"/>
    <x v="1"/>
  </r>
  <r>
    <d v="2022-01-04T00:00:00"/>
    <s v="S004"/>
    <s v="P0003"/>
    <x v="1"/>
    <x v="2"/>
    <n v="236"/>
    <n v="40"/>
    <n v="104"/>
    <n v="36.090000000000003"/>
    <n v="53.13"/>
    <n v="5"/>
    <s v="Snowy"/>
    <n v="1"/>
    <n v="48.66"/>
    <x v="3"/>
  </r>
  <r>
    <d v="2022-01-04T00:00:00"/>
    <s v="S004"/>
    <s v="P0004"/>
    <x v="1"/>
    <x v="2"/>
    <n v="260"/>
    <n v="245"/>
    <n v="199"/>
    <n v="256.94"/>
    <n v="82"/>
    <n v="10"/>
    <s v="Sunny"/>
    <n v="1"/>
    <n v="81.290000000000006"/>
    <x v="2"/>
  </r>
  <r>
    <d v="2022-01-04T00:00:00"/>
    <s v="S004"/>
    <s v="P0005"/>
    <x v="3"/>
    <x v="0"/>
    <n v="435"/>
    <n v="241"/>
    <n v="160"/>
    <n v="255.72"/>
    <n v="75.55"/>
    <n v="15"/>
    <s v="Snowy"/>
    <n v="0"/>
    <n v="75.67"/>
    <x v="0"/>
  </r>
  <r>
    <d v="2022-01-04T00:00:00"/>
    <s v="S004"/>
    <s v="P0006"/>
    <x v="0"/>
    <x v="1"/>
    <n v="499"/>
    <n v="138"/>
    <n v="175"/>
    <n v="128.04"/>
    <n v="50.26"/>
    <n v="0"/>
    <s v="Cloudy"/>
    <n v="1"/>
    <n v="47.5"/>
    <x v="0"/>
  </r>
  <r>
    <d v="2022-01-04T00:00:00"/>
    <s v="S004"/>
    <s v="P0007"/>
    <x v="4"/>
    <x v="3"/>
    <n v="180"/>
    <n v="152"/>
    <n v="102"/>
    <n v="157.24"/>
    <n v="56.58"/>
    <n v="5"/>
    <s v="Cloudy"/>
    <n v="1"/>
    <n v="52.57"/>
    <x v="0"/>
  </r>
  <r>
    <d v="2022-01-04T00:00:00"/>
    <s v="S004"/>
    <s v="P0008"/>
    <x v="3"/>
    <x v="2"/>
    <n v="128"/>
    <n v="12"/>
    <n v="85"/>
    <n v="16.36"/>
    <n v="37.17"/>
    <n v="10"/>
    <s v="Rainy"/>
    <n v="1"/>
    <n v="32.409999999999997"/>
    <x v="2"/>
  </r>
  <r>
    <d v="2022-01-04T00:00:00"/>
    <s v="S004"/>
    <s v="P0009"/>
    <x v="3"/>
    <x v="1"/>
    <n v="291"/>
    <n v="158"/>
    <n v="35"/>
    <n v="158.22999999999999"/>
    <n v="82.75"/>
    <n v="20"/>
    <s v="Sunny"/>
    <n v="1"/>
    <n v="83.85"/>
    <x v="2"/>
  </r>
  <r>
    <d v="2022-01-04T00:00:00"/>
    <s v="S004"/>
    <s v="P0010"/>
    <x v="4"/>
    <x v="0"/>
    <n v="444"/>
    <n v="265"/>
    <n v="187"/>
    <n v="264.83"/>
    <n v="23.53"/>
    <n v="10"/>
    <s v="Sunny"/>
    <n v="1"/>
    <n v="24.56"/>
    <x v="3"/>
  </r>
  <r>
    <d v="2022-01-04T00:00:00"/>
    <s v="S004"/>
    <s v="P0011"/>
    <x v="4"/>
    <x v="3"/>
    <n v="281"/>
    <n v="240"/>
    <n v="182"/>
    <n v="243.7"/>
    <n v="56.3"/>
    <n v="5"/>
    <s v="Sunny"/>
    <n v="0"/>
    <n v="60.74"/>
    <x v="3"/>
  </r>
  <r>
    <d v="2022-01-04T00:00:00"/>
    <s v="S004"/>
    <s v="P0012"/>
    <x v="1"/>
    <x v="0"/>
    <n v="189"/>
    <n v="153"/>
    <n v="155"/>
    <n v="145.16999999999999"/>
    <n v="94.09"/>
    <n v="5"/>
    <s v="Cloudy"/>
    <n v="0"/>
    <n v="90.8"/>
    <x v="3"/>
  </r>
  <r>
    <d v="2022-01-04T00:00:00"/>
    <s v="S004"/>
    <s v="P0013"/>
    <x v="0"/>
    <x v="2"/>
    <n v="80"/>
    <n v="68"/>
    <n v="48"/>
    <n v="81.02"/>
    <n v="24.53"/>
    <n v="20"/>
    <s v="Snowy"/>
    <n v="1"/>
    <n v="23.7"/>
    <x v="3"/>
  </r>
  <r>
    <d v="2022-01-04T00:00:00"/>
    <s v="S004"/>
    <s v="P0014"/>
    <x v="3"/>
    <x v="2"/>
    <n v="314"/>
    <n v="302"/>
    <n v="42"/>
    <n v="300.24"/>
    <n v="70.33"/>
    <n v="20"/>
    <s v="Snowy"/>
    <n v="0"/>
    <n v="72.22"/>
    <x v="0"/>
  </r>
  <r>
    <d v="2022-01-04T00:00:00"/>
    <s v="S004"/>
    <s v="P0015"/>
    <x v="4"/>
    <x v="2"/>
    <n v="167"/>
    <n v="70"/>
    <n v="42"/>
    <n v="69.66"/>
    <n v="79.680000000000007"/>
    <n v="5"/>
    <s v="Rainy"/>
    <n v="1"/>
    <n v="77.12"/>
    <x v="3"/>
  </r>
  <r>
    <d v="2022-01-04T00:00:00"/>
    <s v="S004"/>
    <s v="P0016"/>
    <x v="0"/>
    <x v="2"/>
    <n v="129"/>
    <n v="92"/>
    <n v="73"/>
    <n v="89.92"/>
    <n v="25.69"/>
    <n v="0"/>
    <s v="Sunny"/>
    <n v="0"/>
    <n v="27.17"/>
    <x v="0"/>
  </r>
  <r>
    <d v="2022-01-04T00:00:00"/>
    <s v="S004"/>
    <s v="P0017"/>
    <x v="4"/>
    <x v="3"/>
    <n v="425"/>
    <n v="275"/>
    <n v="160"/>
    <n v="266.14"/>
    <n v="25.04"/>
    <n v="5"/>
    <s v="Sunny"/>
    <n v="1"/>
    <n v="29.56"/>
    <x v="1"/>
  </r>
  <r>
    <d v="2022-01-04T00:00:00"/>
    <s v="S004"/>
    <s v="P0018"/>
    <x v="0"/>
    <x v="3"/>
    <n v="103"/>
    <n v="3"/>
    <n v="34"/>
    <n v="20.62"/>
    <n v="56.02"/>
    <n v="15"/>
    <s v="Sunny"/>
    <n v="0"/>
    <n v="59.96"/>
    <x v="2"/>
  </r>
  <r>
    <d v="2022-01-04T00:00:00"/>
    <s v="S004"/>
    <s v="P0019"/>
    <x v="0"/>
    <x v="2"/>
    <n v="471"/>
    <n v="307"/>
    <n v="143"/>
    <n v="319.56"/>
    <n v="31.39"/>
    <n v="5"/>
    <s v="Rainy"/>
    <n v="1"/>
    <n v="29.82"/>
    <x v="2"/>
  </r>
  <r>
    <d v="2022-01-04T00:00:00"/>
    <s v="S004"/>
    <s v="P0020"/>
    <x v="0"/>
    <x v="1"/>
    <n v="364"/>
    <n v="62"/>
    <n v="27"/>
    <n v="68.97"/>
    <n v="86.86"/>
    <n v="15"/>
    <s v="Snowy"/>
    <n v="0"/>
    <n v="89.19"/>
    <x v="3"/>
  </r>
  <r>
    <d v="2022-01-04T00:00:00"/>
    <s v="S005"/>
    <s v="P0001"/>
    <x v="3"/>
    <x v="0"/>
    <n v="383"/>
    <n v="195"/>
    <n v="175"/>
    <n v="214.04"/>
    <n v="21.71"/>
    <n v="20"/>
    <s v="Rainy"/>
    <n v="0"/>
    <n v="24.11"/>
    <x v="2"/>
  </r>
  <r>
    <d v="2022-01-04T00:00:00"/>
    <s v="S005"/>
    <s v="P0002"/>
    <x v="3"/>
    <x v="2"/>
    <n v="495"/>
    <n v="33"/>
    <n v="75"/>
    <n v="36.130000000000003"/>
    <n v="40.56"/>
    <n v="5"/>
    <s v="Rainy"/>
    <n v="1"/>
    <n v="39.9"/>
    <x v="2"/>
  </r>
  <r>
    <d v="2022-01-04T00:00:00"/>
    <s v="S005"/>
    <s v="P0003"/>
    <x v="1"/>
    <x v="1"/>
    <n v="439"/>
    <n v="263"/>
    <n v="107"/>
    <n v="266.77"/>
    <n v="29.2"/>
    <n v="5"/>
    <s v="Snowy"/>
    <n v="0"/>
    <n v="30.66"/>
    <x v="2"/>
  </r>
  <r>
    <d v="2022-01-04T00:00:00"/>
    <s v="S005"/>
    <s v="P0004"/>
    <x v="1"/>
    <x v="2"/>
    <n v="101"/>
    <n v="83"/>
    <n v="94"/>
    <n v="97.81"/>
    <n v="82.18"/>
    <n v="20"/>
    <s v="Cloudy"/>
    <n v="1"/>
    <n v="78.430000000000007"/>
    <x v="1"/>
  </r>
  <r>
    <d v="2022-01-04T00:00:00"/>
    <s v="S005"/>
    <s v="P0005"/>
    <x v="1"/>
    <x v="1"/>
    <n v="292"/>
    <n v="78"/>
    <n v="25"/>
    <n v="85.65"/>
    <n v="45.85"/>
    <n v="15"/>
    <s v="Sunny"/>
    <n v="1"/>
    <n v="43.84"/>
    <x v="0"/>
  </r>
  <r>
    <d v="2022-01-04T00:00:00"/>
    <s v="S005"/>
    <s v="P0006"/>
    <x v="4"/>
    <x v="2"/>
    <n v="466"/>
    <n v="118"/>
    <n v="75"/>
    <n v="133.87"/>
    <n v="42.08"/>
    <n v="10"/>
    <s v="Sunny"/>
    <n v="0"/>
    <n v="37.49"/>
    <x v="1"/>
  </r>
  <r>
    <d v="2022-01-04T00:00:00"/>
    <s v="S005"/>
    <s v="P0007"/>
    <x v="4"/>
    <x v="0"/>
    <n v="175"/>
    <n v="147"/>
    <n v="130"/>
    <n v="141.44"/>
    <n v="51.22"/>
    <n v="10"/>
    <s v="Cloudy"/>
    <n v="1"/>
    <n v="54.22"/>
    <x v="3"/>
  </r>
  <r>
    <d v="2022-01-04T00:00:00"/>
    <s v="S005"/>
    <s v="P0008"/>
    <x v="3"/>
    <x v="1"/>
    <n v="327"/>
    <n v="216"/>
    <n v="124"/>
    <n v="233.51"/>
    <n v="62.03"/>
    <n v="20"/>
    <s v="Cloudy"/>
    <n v="0"/>
    <n v="64.13"/>
    <x v="1"/>
  </r>
  <r>
    <d v="2022-01-04T00:00:00"/>
    <s v="S005"/>
    <s v="P0009"/>
    <x v="0"/>
    <x v="2"/>
    <n v="194"/>
    <n v="27"/>
    <n v="43"/>
    <n v="26.91"/>
    <n v="36.53"/>
    <n v="15"/>
    <s v="Snowy"/>
    <n v="1"/>
    <n v="35.630000000000003"/>
    <x v="3"/>
  </r>
  <r>
    <d v="2022-01-04T00:00:00"/>
    <s v="S005"/>
    <s v="P0010"/>
    <x v="2"/>
    <x v="0"/>
    <n v="349"/>
    <n v="172"/>
    <n v="189"/>
    <n v="171.35"/>
    <n v="84.66"/>
    <n v="5"/>
    <s v="Rainy"/>
    <n v="1"/>
    <n v="79.81"/>
    <x v="2"/>
  </r>
  <r>
    <d v="2022-01-04T00:00:00"/>
    <s v="S005"/>
    <s v="P0011"/>
    <x v="1"/>
    <x v="2"/>
    <n v="237"/>
    <n v="78"/>
    <n v="192"/>
    <n v="77.14"/>
    <n v="39.15"/>
    <n v="0"/>
    <s v="Snowy"/>
    <n v="1"/>
    <n v="35.15"/>
    <x v="0"/>
  </r>
  <r>
    <d v="2022-01-04T00:00:00"/>
    <s v="S005"/>
    <s v="P0012"/>
    <x v="4"/>
    <x v="1"/>
    <n v="220"/>
    <n v="196"/>
    <n v="82"/>
    <n v="187.61"/>
    <n v="45.65"/>
    <n v="15"/>
    <s v="Cloudy"/>
    <n v="1"/>
    <n v="48.04"/>
    <x v="1"/>
  </r>
  <r>
    <d v="2022-01-04T00:00:00"/>
    <s v="S005"/>
    <s v="P0013"/>
    <x v="0"/>
    <x v="0"/>
    <n v="86"/>
    <n v="75"/>
    <n v="153"/>
    <n v="72.27"/>
    <n v="40.270000000000003"/>
    <n v="15"/>
    <s v="Sunny"/>
    <n v="1"/>
    <n v="41.66"/>
    <x v="1"/>
  </r>
  <r>
    <d v="2022-01-04T00:00:00"/>
    <s v="S005"/>
    <s v="P0014"/>
    <x v="1"/>
    <x v="2"/>
    <n v="334"/>
    <n v="11"/>
    <n v="179"/>
    <n v="8.4499999999999993"/>
    <n v="82.99"/>
    <n v="15"/>
    <s v="Snowy"/>
    <n v="1"/>
    <n v="87.85"/>
    <x v="3"/>
  </r>
  <r>
    <d v="2022-01-04T00:00:00"/>
    <s v="S005"/>
    <s v="P0015"/>
    <x v="4"/>
    <x v="2"/>
    <n v="186"/>
    <n v="144"/>
    <n v="197"/>
    <n v="150.43"/>
    <n v="60.15"/>
    <n v="20"/>
    <s v="Cloudy"/>
    <n v="1"/>
    <n v="61.9"/>
    <x v="1"/>
  </r>
  <r>
    <d v="2022-01-04T00:00:00"/>
    <s v="S005"/>
    <s v="P0016"/>
    <x v="2"/>
    <x v="0"/>
    <n v="288"/>
    <n v="200"/>
    <n v="180"/>
    <n v="216.05"/>
    <n v="15.19"/>
    <n v="10"/>
    <s v="Sunny"/>
    <n v="0"/>
    <n v="12.13"/>
    <x v="2"/>
  </r>
  <r>
    <d v="2022-01-04T00:00:00"/>
    <s v="S005"/>
    <s v="P0017"/>
    <x v="1"/>
    <x v="0"/>
    <n v="460"/>
    <n v="256"/>
    <n v="107"/>
    <n v="252.35"/>
    <n v="37.46"/>
    <n v="20"/>
    <s v="Cloudy"/>
    <n v="1"/>
    <n v="33.090000000000003"/>
    <x v="0"/>
  </r>
  <r>
    <d v="2022-01-04T00:00:00"/>
    <s v="S005"/>
    <s v="P0018"/>
    <x v="0"/>
    <x v="3"/>
    <n v="482"/>
    <n v="118"/>
    <n v="168"/>
    <n v="137.69999999999999"/>
    <n v="34.44"/>
    <n v="10"/>
    <s v="Cloudy"/>
    <n v="0"/>
    <n v="33.51"/>
    <x v="3"/>
  </r>
  <r>
    <d v="2022-01-04T00:00:00"/>
    <s v="S005"/>
    <s v="P0019"/>
    <x v="1"/>
    <x v="0"/>
    <n v="278"/>
    <n v="244"/>
    <n v="24"/>
    <n v="259.18"/>
    <n v="84.99"/>
    <n v="20"/>
    <s v="Rainy"/>
    <n v="0"/>
    <n v="85.21"/>
    <x v="0"/>
  </r>
  <r>
    <d v="2022-01-04T00:00:00"/>
    <s v="S005"/>
    <s v="P0020"/>
    <x v="3"/>
    <x v="2"/>
    <n v="128"/>
    <n v="54"/>
    <n v="139"/>
    <n v="62.09"/>
    <n v="81.63"/>
    <n v="10"/>
    <s v="Rainy"/>
    <n v="0"/>
    <n v="78.319999999999993"/>
    <x v="0"/>
  </r>
  <r>
    <d v="2022-01-05T00:00:00"/>
    <s v="S001"/>
    <s v="P0001"/>
    <x v="0"/>
    <x v="1"/>
    <n v="238"/>
    <n v="147"/>
    <n v="37"/>
    <n v="150.27000000000001"/>
    <n v="28.46"/>
    <n v="20"/>
    <s v="Sunny"/>
    <n v="1"/>
    <n v="29.4"/>
    <x v="2"/>
  </r>
  <r>
    <d v="2022-01-05T00:00:00"/>
    <s v="S001"/>
    <s v="P0002"/>
    <x v="1"/>
    <x v="2"/>
    <n v="270"/>
    <n v="220"/>
    <n v="165"/>
    <n v="237"/>
    <n v="79.540000000000006"/>
    <n v="10"/>
    <s v="Rainy"/>
    <n v="0"/>
    <n v="80.22"/>
    <x v="3"/>
  </r>
  <r>
    <d v="2022-01-05T00:00:00"/>
    <s v="S001"/>
    <s v="P0003"/>
    <x v="1"/>
    <x v="1"/>
    <n v="216"/>
    <n v="97"/>
    <n v="198"/>
    <n v="101.54"/>
    <n v="80.569999999999993"/>
    <n v="5"/>
    <s v="Rainy"/>
    <n v="1"/>
    <n v="78.89"/>
    <x v="1"/>
  </r>
  <r>
    <d v="2022-01-05T00:00:00"/>
    <s v="S001"/>
    <s v="P0004"/>
    <x v="2"/>
    <x v="0"/>
    <n v="172"/>
    <n v="29"/>
    <n v="73"/>
    <n v="40.03"/>
    <n v="93.53"/>
    <n v="20"/>
    <s v="Snowy"/>
    <n v="1"/>
    <n v="93.55"/>
    <x v="0"/>
  </r>
  <r>
    <d v="2022-01-05T00:00:00"/>
    <s v="S001"/>
    <s v="P0005"/>
    <x v="3"/>
    <x v="2"/>
    <n v="405"/>
    <n v="192"/>
    <n v="76"/>
    <n v="193.38"/>
    <n v="46.13"/>
    <n v="0"/>
    <s v="Cloudy"/>
    <n v="0"/>
    <n v="42.56"/>
    <x v="3"/>
  </r>
  <r>
    <d v="2022-01-05T00:00:00"/>
    <s v="S001"/>
    <s v="P0006"/>
    <x v="1"/>
    <x v="0"/>
    <n v="338"/>
    <n v="158"/>
    <n v="139"/>
    <n v="168.84"/>
    <n v="60.2"/>
    <n v="0"/>
    <s v="Rainy"/>
    <n v="1"/>
    <n v="57.13"/>
    <x v="2"/>
  </r>
  <r>
    <d v="2022-01-05T00:00:00"/>
    <s v="S001"/>
    <s v="P0007"/>
    <x v="0"/>
    <x v="2"/>
    <n v="409"/>
    <n v="8"/>
    <n v="143"/>
    <n v="17.440000000000001"/>
    <n v="53.65"/>
    <n v="5"/>
    <s v="Cloudy"/>
    <n v="0"/>
    <n v="53.31"/>
    <x v="0"/>
  </r>
  <r>
    <d v="2022-01-05T00:00:00"/>
    <s v="S001"/>
    <s v="P0008"/>
    <x v="2"/>
    <x v="2"/>
    <n v="102"/>
    <n v="42"/>
    <n v="23"/>
    <n v="35.11"/>
    <n v="59.2"/>
    <n v="5"/>
    <s v="Snowy"/>
    <n v="0"/>
    <n v="58.19"/>
    <x v="2"/>
  </r>
  <r>
    <d v="2022-01-05T00:00:00"/>
    <s v="S001"/>
    <s v="P0009"/>
    <x v="3"/>
    <x v="3"/>
    <n v="433"/>
    <n v="5"/>
    <n v="185"/>
    <n v="6.6"/>
    <n v="98.03"/>
    <n v="5"/>
    <s v="Rainy"/>
    <n v="0"/>
    <n v="93.57"/>
    <x v="3"/>
  </r>
  <r>
    <d v="2022-01-05T00:00:00"/>
    <s v="S001"/>
    <s v="P0010"/>
    <x v="3"/>
    <x v="3"/>
    <n v="288"/>
    <n v="93"/>
    <n v="169"/>
    <n v="85.66"/>
    <n v="32.6"/>
    <n v="20"/>
    <s v="Rainy"/>
    <n v="0"/>
    <n v="32.17"/>
    <x v="3"/>
  </r>
  <r>
    <d v="2022-01-05T00:00:00"/>
    <s v="S001"/>
    <s v="P0011"/>
    <x v="0"/>
    <x v="0"/>
    <n v="485"/>
    <n v="44"/>
    <n v="191"/>
    <n v="54.08"/>
    <n v="53.31"/>
    <n v="5"/>
    <s v="Sunny"/>
    <n v="1"/>
    <n v="52.89"/>
    <x v="3"/>
  </r>
  <r>
    <d v="2022-01-05T00:00:00"/>
    <s v="S001"/>
    <s v="P0012"/>
    <x v="2"/>
    <x v="2"/>
    <n v="414"/>
    <n v="78"/>
    <n v="91"/>
    <n v="76.67"/>
    <n v="93.96"/>
    <n v="20"/>
    <s v="Sunny"/>
    <n v="0"/>
    <n v="98.29"/>
    <x v="1"/>
  </r>
  <r>
    <d v="2022-01-05T00:00:00"/>
    <s v="S001"/>
    <s v="P0013"/>
    <x v="1"/>
    <x v="3"/>
    <n v="370"/>
    <n v="57"/>
    <n v="24"/>
    <n v="55.73"/>
    <n v="83.3"/>
    <n v="0"/>
    <s v="Snowy"/>
    <n v="0"/>
    <n v="82.46"/>
    <x v="1"/>
  </r>
  <r>
    <d v="2022-01-05T00:00:00"/>
    <s v="S001"/>
    <s v="P0014"/>
    <x v="1"/>
    <x v="0"/>
    <n v="233"/>
    <n v="161"/>
    <n v="171"/>
    <n v="155.79"/>
    <n v="12.66"/>
    <n v="15"/>
    <s v="Rainy"/>
    <n v="1"/>
    <n v="12.38"/>
    <x v="0"/>
  </r>
  <r>
    <d v="2022-01-05T00:00:00"/>
    <s v="S001"/>
    <s v="P0015"/>
    <x v="1"/>
    <x v="2"/>
    <n v="272"/>
    <n v="172"/>
    <n v="139"/>
    <n v="183.33"/>
    <n v="55.77"/>
    <n v="20"/>
    <s v="Rainy"/>
    <n v="1"/>
    <n v="59.56"/>
    <x v="2"/>
  </r>
  <r>
    <d v="2022-01-05T00:00:00"/>
    <s v="S001"/>
    <s v="P0016"/>
    <x v="0"/>
    <x v="3"/>
    <n v="189"/>
    <n v="132"/>
    <n v="196"/>
    <n v="143.24"/>
    <n v="30.15"/>
    <n v="15"/>
    <s v="Rainy"/>
    <n v="0"/>
    <n v="26.17"/>
    <x v="0"/>
  </r>
  <r>
    <d v="2022-01-05T00:00:00"/>
    <s v="S001"/>
    <s v="P0017"/>
    <x v="2"/>
    <x v="3"/>
    <n v="120"/>
    <n v="46"/>
    <n v="156"/>
    <n v="53.06"/>
    <n v="63.75"/>
    <n v="5"/>
    <s v="Snowy"/>
    <n v="0"/>
    <n v="60.02"/>
    <x v="2"/>
  </r>
  <r>
    <d v="2022-01-05T00:00:00"/>
    <s v="S001"/>
    <s v="P0018"/>
    <x v="0"/>
    <x v="1"/>
    <n v="248"/>
    <n v="17"/>
    <n v="200"/>
    <n v="17.8"/>
    <n v="97.51"/>
    <n v="10"/>
    <s v="Snowy"/>
    <n v="0"/>
    <n v="97.99"/>
    <x v="3"/>
  </r>
  <r>
    <d v="2022-01-05T00:00:00"/>
    <s v="S001"/>
    <s v="P0019"/>
    <x v="2"/>
    <x v="2"/>
    <n v="492"/>
    <n v="38"/>
    <n v="167"/>
    <n v="47.82"/>
    <n v="49.8"/>
    <n v="5"/>
    <s v="Rainy"/>
    <n v="1"/>
    <n v="47.76"/>
    <x v="0"/>
  </r>
  <r>
    <d v="2022-01-05T00:00:00"/>
    <s v="S001"/>
    <s v="P0020"/>
    <x v="1"/>
    <x v="2"/>
    <n v="355"/>
    <n v="11"/>
    <n v="26"/>
    <n v="4.5"/>
    <n v="33.299999999999997"/>
    <n v="10"/>
    <s v="Rainy"/>
    <n v="0"/>
    <n v="37.71"/>
    <x v="2"/>
  </r>
  <r>
    <d v="2022-01-05T00:00:00"/>
    <s v="S002"/>
    <s v="P0001"/>
    <x v="3"/>
    <x v="3"/>
    <n v="250"/>
    <n v="161"/>
    <n v="70"/>
    <n v="171.45"/>
    <n v="56.24"/>
    <n v="15"/>
    <s v="Snowy"/>
    <n v="1"/>
    <n v="60.32"/>
    <x v="3"/>
  </r>
  <r>
    <d v="2022-01-05T00:00:00"/>
    <s v="S002"/>
    <s v="P0002"/>
    <x v="2"/>
    <x v="0"/>
    <n v="182"/>
    <n v="101"/>
    <n v="81"/>
    <n v="92.92"/>
    <n v="43.43"/>
    <n v="20"/>
    <s v="Sunny"/>
    <n v="1"/>
    <n v="39.61"/>
    <x v="0"/>
  </r>
  <r>
    <d v="2022-01-05T00:00:00"/>
    <s v="S002"/>
    <s v="P0003"/>
    <x v="2"/>
    <x v="0"/>
    <n v="274"/>
    <n v="263"/>
    <n v="91"/>
    <n v="257.45999999999998"/>
    <n v="30.78"/>
    <n v="10"/>
    <s v="Snowy"/>
    <n v="0"/>
    <n v="34.67"/>
    <x v="1"/>
  </r>
  <r>
    <d v="2022-01-05T00:00:00"/>
    <s v="S002"/>
    <s v="P0004"/>
    <x v="3"/>
    <x v="0"/>
    <n v="148"/>
    <n v="32"/>
    <n v="142"/>
    <n v="25.88"/>
    <n v="82.85"/>
    <n v="5"/>
    <s v="Sunny"/>
    <n v="0"/>
    <n v="78.98"/>
    <x v="0"/>
  </r>
  <r>
    <d v="2022-01-05T00:00:00"/>
    <s v="S002"/>
    <s v="P0005"/>
    <x v="4"/>
    <x v="2"/>
    <n v="241"/>
    <n v="209"/>
    <n v="36"/>
    <n v="212.58"/>
    <n v="87.11"/>
    <n v="0"/>
    <s v="Cloudy"/>
    <n v="1"/>
    <n v="83.23"/>
    <x v="3"/>
  </r>
  <r>
    <d v="2022-01-05T00:00:00"/>
    <s v="S002"/>
    <s v="P0006"/>
    <x v="0"/>
    <x v="2"/>
    <n v="131"/>
    <n v="24"/>
    <n v="176"/>
    <n v="22.17"/>
    <n v="56.68"/>
    <n v="5"/>
    <s v="Cloudy"/>
    <n v="0"/>
    <n v="60.18"/>
    <x v="3"/>
  </r>
  <r>
    <d v="2022-01-05T00:00:00"/>
    <s v="S002"/>
    <s v="P0007"/>
    <x v="0"/>
    <x v="1"/>
    <n v="80"/>
    <n v="20"/>
    <n v="176"/>
    <n v="34.049999999999997"/>
    <n v="80.010000000000005"/>
    <n v="5"/>
    <s v="Rainy"/>
    <n v="1"/>
    <n v="80.650000000000006"/>
    <x v="2"/>
  </r>
  <r>
    <d v="2022-01-05T00:00:00"/>
    <s v="S002"/>
    <s v="P0008"/>
    <x v="4"/>
    <x v="3"/>
    <n v="483"/>
    <n v="148"/>
    <n v="111"/>
    <n v="145.1"/>
    <n v="41.24"/>
    <n v="0"/>
    <s v="Cloudy"/>
    <n v="1"/>
    <n v="44.9"/>
    <x v="0"/>
  </r>
  <r>
    <d v="2022-01-05T00:00:00"/>
    <s v="S002"/>
    <s v="P0009"/>
    <x v="1"/>
    <x v="2"/>
    <n v="228"/>
    <n v="100"/>
    <n v="183"/>
    <n v="109.92"/>
    <n v="96.96"/>
    <n v="5"/>
    <s v="Cloudy"/>
    <n v="1"/>
    <n v="98.62"/>
    <x v="3"/>
  </r>
  <r>
    <d v="2022-01-05T00:00:00"/>
    <s v="S002"/>
    <s v="P0010"/>
    <x v="1"/>
    <x v="3"/>
    <n v="202"/>
    <n v="129"/>
    <n v="55"/>
    <n v="119.12"/>
    <n v="87.69"/>
    <n v="20"/>
    <s v="Snowy"/>
    <n v="0"/>
    <n v="83.87"/>
    <x v="0"/>
  </r>
  <r>
    <d v="2022-01-05T00:00:00"/>
    <s v="S002"/>
    <s v="P0011"/>
    <x v="3"/>
    <x v="3"/>
    <n v="440"/>
    <n v="257"/>
    <n v="41"/>
    <n v="266.89"/>
    <n v="74.45"/>
    <n v="5"/>
    <s v="Cloudy"/>
    <n v="1"/>
    <n v="76.989999999999995"/>
    <x v="3"/>
  </r>
  <r>
    <d v="2022-01-05T00:00:00"/>
    <s v="S002"/>
    <s v="P0012"/>
    <x v="0"/>
    <x v="2"/>
    <n v="264"/>
    <n v="262"/>
    <n v="29"/>
    <n v="269.58999999999997"/>
    <n v="53.28"/>
    <n v="5"/>
    <s v="Rainy"/>
    <n v="0"/>
    <n v="56.77"/>
    <x v="1"/>
  </r>
  <r>
    <d v="2022-01-05T00:00:00"/>
    <s v="S002"/>
    <s v="P0013"/>
    <x v="1"/>
    <x v="3"/>
    <n v="296"/>
    <n v="200"/>
    <n v="20"/>
    <n v="214.64"/>
    <n v="25.38"/>
    <n v="15"/>
    <s v="Cloudy"/>
    <n v="1"/>
    <n v="25.99"/>
    <x v="3"/>
  </r>
  <r>
    <d v="2022-01-05T00:00:00"/>
    <s v="S002"/>
    <s v="P0014"/>
    <x v="0"/>
    <x v="2"/>
    <n v="201"/>
    <n v="56"/>
    <n v="187"/>
    <n v="69.260000000000005"/>
    <n v="23.84"/>
    <n v="10"/>
    <s v="Sunny"/>
    <n v="1"/>
    <n v="19.73"/>
    <x v="3"/>
  </r>
  <r>
    <d v="2022-01-05T00:00:00"/>
    <s v="S002"/>
    <s v="P0015"/>
    <x v="4"/>
    <x v="1"/>
    <n v="70"/>
    <n v="24"/>
    <n v="28"/>
    <n v="17.010000000000002"/>
    <n v="52.21"/>
    <n v="20"/>
    <s v="Cloudy"/>
    <n v="0"/>
    <n v="56.17"/>
    <x v="1"/>
  </r>
  <r>
    <d v="2022-01-05T00:00:00"/>
    <s v="S002"/>
    <s v="P0016"/>
    <x v="3"/>
    <x v="2"/>
    <n v="176"/>
    <n v="105"/>
    <n v="174"/>
    <n v="106.4"/>
    <n v="79.34"/>
    <n v="20"/>
    <s v="Cloudy"/>
    <n v="0"/>
    <n v="79.16"/>
    <x v="3"/>
  </r>
  <r>
    <d v="2022-01-05T00:00:00"/>
    <s v="S002"/>
    <s v="P0017"/>
    <x v="0"/>
    <x v="3"/>
    <n v="399"/>
    <n v="294"/>
    <n v="100"/>
    <n v="302.77"/>
    <n v="13.13"/>
    <n v="15"/>
    <s v="Snowy"/>
    <n v="0"/>
    <n v="9.4600000000000009"/>
    <x v="1"/>
  </r>
  <r>
    <d v="2022-01-05T00:00:00"/>
    <s v="S002"/>
    <s v="P0018"/>
    <x v="0"/>
    <x v="3"/>
    <n v="294"/>
    <n v="142"/>
    <n v="63"/>
    <n v="154.25"/>
    <n v="23.28"/>
    <n v="15"/>
    <s v="Cloudy"/>
    <n v="1"/>
    <n v="23.86"/>
    <x v="0"/>
  </r>
  <r>
    <d v="2022-01-05T00:00:00"/>
    <s v="S002"/>
    <s v="P0019"/>
    <x v="2"/>
    <x v="1"/>
    <n v="222"/>
    <n v="55"/>
    <n v="27"/>
    <n v="68.88"/>
    <n v="67.3"/>
    <n v="10"/>
    <s v="Sunny"/>
    <n v="1"/>
    <n v="66.27"/>
    <x v="3"/>
  </r>
  <r>
    <d v="2022-01-05T00:00:00"/>
    <s v="S002"/>
    <s v="P0020"/>
    <x v="2"/>
    <x v="1"/>
    <n v="123"/>
    <n v="24"/>
    <n v="110"/>
    <n v="27.69"/>
    <n v="17.350000000000001"/>
    <n v="20"/>
    <s v="Cloudy"/>
    <n v="1"/>
    <n v="13.22"/>
    <x v="0"/>
  </r>
  <r>
    <d v="2022-01-05T00:00:00"/>
    <s v="S003"/>
    <s v="P0001"/>
    <x v="2"/>
    <x v="2"/>
    <n v="388"/>
    <n v="53"/>
    <n v="55"/>
    <n v="47.35"/>
    <n v="93.06"/>
    <n v="0"/>
    <s v="Snowy"/>
    <n v="1"/>
    <n v="88.15"/>
    <x v="1"/>
  </r>
  <r>
    <d v="2022-01-05T00:00:00"/>
    <s v="S003"/>
    <s v="P0002"/>
    <x v="0"/>
    <x v="1"/>
    <n v="191"/>
    <n v="189"/>
    <n v="177"/>
    <n v="187.88"/>
    <n v="84.04"/>
    <n v="20"/>
    <s v="Cloudy"/>
    <n v="0"/>
    <n v="87.67"/>
    <x v="2"/>
  </r>
  <r>
    <d v="2022-01-05T00:00:00"/>
    <s v="S003"/>
    <s v="P0003"/>
    <x v="3"/>
    <x v="3"/>
    <n v="370"/>
    <n v="146"/>
    <n v="68"/>
    <n v="155.15"/>
    <n v="25.75"/>
    <n v="0"/>
    <s v="Rainy"/>
    <n v="1"/>
    <n v="30.21"/>
    <x v="1"/>
  </r>
  <r>
    <d v="2022-01-05T00:00:00"/>
    <s v="S003"/>
    <s v="P0004"/>
    <x v="3"/>
    <x v="3"/>
    <n v="463"/>
    <n v="186"/>
    <n v="77"/>
    <n v="188.51"/>
    <n v="76.319999999999993"/>
    <n v="20"/>
    <s v="Cloudy"/>
    <n v="0"/>
    <n v="79.040000000000006"/>
    <x v="1"/>
  </r>
  <r>
    <d v="2022-01-05T00:00:00"/>
    <s v="S003"/>
    <s v="P0005"/>
    <x v="1"/>
    <x v="2"/>
    <n v="140"/>
    <n v="77"/>
    <n v="149"/>
    <n v="90.49"/>
    <n v="49.52"/>
    <n v="20"/>
    <s v="Snowy"/>
    <n v="1"/>
    <n v="54.31"/>
    <x v="3"/>
  </r>
  <r>
    <d v="2022-01-05T00:00:00"/>
    <s v="S003"/>
    <s v="P0006"/>
    <x v="3"/>
    <x v="3"/>
    <n v="314"/>
    <n v="225"/>
    <n v="135"/>
    <n v="220.06"/>
    <n v="93.81"/>
    <n v="0"/>
    <s v="Snowy"/>
    <n v="0"/>
    <n v="89.3"/>
    <x v="0"/>
  </r>
  <r>
    <d v="2022-01-05T00:00:00"/>
    <s v="S003"/>
    <s v="P0007"/>
    <x v="4"/>
    <x v="3"/>
    <n v="79"/>
    <n v="66"/>
    <n v="69"/>
    <n v="74.14"/>
    <n v="76.7"/>
    <n v="10"/>
    <s v="Rainy"/>
    <n v="1"/>
    <n v="73.33"/>
    <x v="1"/>
  </r>
  <r>
    <d v="2022-01-05T00:00:00"/>
    <s v="S003"/>
    <s v="P0008"/>
    <x v="2"/>
    <x v="1"/>
    <n v="411"/>
    <n v="35"/>
    <n v="83"/>
    <n v="35.46"/>
    <n v="24.28"/>
    <n v="15"/>
    <s v="Snowy"/>
    <n v="1"/>
    <n v="21.81"/>
    <x v="2"/>
  </r>
  <r>
    <d v="2022-01-05T00:00:00"/>
    <s v="S003"/>
    <s v="P0009"/>
    <x v="2"/>
    <x v="2"/>
    <n v="117"/>
    <n v="1"/>
    <n v="64"/>
    <n v="7.16"/>
    <n v="13.87"/>
    <n v="15"/>
    <s v="Rainy"/>
    <n v="1"/>
    <n v="14.32"/>
    <x v="3"/>
  </r>
  <r>
    <d v="2022-01-05T00:00:00"/>
    <s v="S003"/>
    <s v="P0010"/>
    <x v="4"/>
    <x v="2"/>
    <n v="109"/>
    <n v="95"/>
    <n v="73"/>
    <n v="90.43"/>
    <n v="14.93"/>
    <n v="10"/>
    <s v="Sunny"/>
    <n v="0"/>
    <n v="17.34"/>
    <x v="2"/>
  </r>
  <r>
    <d v="2022-01-05T00:00:00"/>
    <s v="S003"/>
    <s v="P0011"/>
    <x v="2"/>
    <x v="3"/>
    <n v="438"/>
    <n v="255"/>
    <n v="85"/>
    <n v="269.91000000000003"/>
    <n v="22.22"/>
    <n v="10"/>
    <s v="Snowy"/>
    <n v="1"/>
    <n v="25.17"/>
    <x v="3"/>
  </r>
  <r>
    <d v="2022-01-05T00:00:00"/>
    <s v="S003"/>
    <s v="P0012"/>
    <x v="1"/>
    <x v="3"/>
    <n v="480"/>
    <n v="132"/>
    <n v="174"/>
    <n v="122.08"/>
    <n v="57.69"/>
    <n v="5"/>
    <s v="Cloudy"/>
    <n v="0"/>
    <n v="56.53"/>
    <x v="2"/>
  </r>
  <r>
    <d v="2022-01-05T00:00:00"/>
    <s v="S003"/>
    <s v="P0013"/>
    <x v="3"/>
    <x v="3"/>
    <n v="284"/>
    <n v="234"/>
    <n v="168"/>
    <n v="232.6"/>
    <n v="80.36"/>
    <n v="15"/>
    <s v="Rainy"/>
    <n v="1"/>
    <n v="78.62"/>
    <x v="2"/>
  </r>
  <r>
    <d v="2022-01-05T00:00:00"/>
    <s v="S003"/>
    <s v="P0014"/>
    <x v="3"/>
    <x v="1"/>
    <n v="444"/>
    <n v="42"/>
    <n v="86"/>
    <n v="44.15"/>
    <n v="40.6"/>
    <n v="10"/>
    <s v="Rainy"/>
    <n v="1"/>
    <n v="37.42"/>
    <x v="2"/>
  </r>
  <r>
    <d v="2022-01-05T00:00:00"/>
    <s v="S003"/>
    <s v="P0015"/>
    <x v="3"/>
    <x v="1"/>
    <n v="278"/>
    <n v="25"/>
    <n v="81"/>
    <n v="28.28"/>
    <n v="86.8"/>
    <n v="0"/>
    <s v="Snowy"/>
    <n v="0"/>
    <n v="90.41"/>
    <x v="0"/>
  </r>
  <r>
    <d v="2022-01-05T00:00:00"/>
    <s v="S003"/>
    <s v="P0016"/>
    <x v="1"/>
    <x v="0"/>
    <n v="202"/>
    <n v="30"/>
    <n v="195"/>
    <n v="29.93"/>
    <n v="30.33"/>
    <n v="15"/>
    <s v="Snowy"/>
    <n v="1"/>
    <n v="27.66"/>
    <x v="0"/>
  </r>
  <r>
    <d v="2022-01-05T00:00:00"/>
    <s v="S003"/>
    <s v="P0017"/>
    <x v="1"/>
    <x v="3"/>
    <n v="192"/>
    <n v="28"/>
    <n v="175"/>
    <n v="18.54"/>
    <n v="29.03"/>
    <n v="0"/>
    <s v="Snowy"/>
    <n v="0"/>
    <n v="25.22"/>
    <x v="1"/>
  </r>
  <r>
    <d v="2022-01-05T00:00:00"/>
    <s v="S003"/>
    <s v="P0018"/>
    <x v="0"/>
    <x v="1"/>
    <n v="168"/>
    <n v="38"/>
    <n v="74"/>
    <n v="41.71"/>
    <n v="97.97"/>
    <n v="15"/>
    <s v="Cloudy"/>
    <n v="0"/>
    <n v="102.22"/>
    <x v="3"/>
  </r>
  <r>
    <d v="2022-01-05T00:00:00"/>
    <s v="S003"/>
    <s v="P0019"/>
    <x v="1"/>
    <x v="2"/>
    <n v="308"/>
    <n v="149"/>
    <n v="35"/>
    <n v="167.46"/>
    <n v="31.18"/>
    <n v="0"/>
    <s v="Sunny"/>
    <n v="1"/>
    <n v="34.200000000000003"/>
    <x v="2"/>
  </r>
  <r>
    <d v="2022-01-05T00:00:00"/>
    <s v="S003"/>
    <s v="P0020"/>
    <x v="0"/>
    <x v="0"/>
    <n v="286"/>
    <n v="192"/>
    <n v="70"/>
    <n v="205.67"/>
    <n v="65.34"/>
    <n v="10"/>
    <s v="Rainy"/>
    <n v="0"/>
    <n v="63.05"/>
    <x v="0"/>
  </r>
  <r>
    <d v="2022-01-05T00:00:00"/>
    <s v="S004"/>
    <s v="P0001"/>
    <x v="1"/>
    <x v="0"/>
    <n v="201"/>
    <n v="198"/>
    <n v="103"/>
    <n v="212.56"/>
    <n v="57.58"/>
    <n v="10"/>
    <s v="Cloudy"/>
    <n v="0"/>
    <n v="58.98"/>
    <x v="1"/>
  </r>
  <r>
    <d v="2022-01-05T00:00:00"/>
    <s v="S004"/>
    <s v="P0002"/>
    <x v="2"/>
    <x v="0"/>
    <n v="135"/>
    <n v="83"/>
    <n v="49"/>
    <n v="88.88"/>
    <n v="54.02"/>
    <n v="20"/>
    <s v="Rainy"/>
    <n v="0"/>
    <n v="58.22"/>
    <x v="2"/>
  </r>
  <r>
    <d v="2022-01-05T00:00:00"/>
    <s v="S004"/>
    <s v="P0003"/>
    <x v="3"/>
    <x v="0"/>
    <n v="258"/>
    <n v="97"/>
    <n v="172"/>
    <n v="102.13"/>
    <n v="69.959999999999994"/>
    <n v="10"/>
    <s v="Snowy"/>
    <n v="1"/>
    <n v="70.94"/>
    <x v="0"/>
  </r>
  <r>
    <d v="2022-01-05T00:00:00"/>
    <s v="S004"/>
    <s v="P0004"/>
    <x v="1"/>
    <x v="0"/>
    <n v="357"/>
    <n v="173"/>
    <n v="97"/>
    <n v="190.9"/>
    <n v="51.07"/>
    <n v="5"/>
    <s v="Sunny"/>
    <n v="1"/>
    <n v="50.35"/>
    <x v="3"/>
  </r>
  <r>
    <d v="2022-01-05T00:00:00"/>
    <s v="S004"/>
    <s v="P0005"/>
    <x v="2"/>
    <x v="3"/>
    <n v="387"/>
    <n v="69"/>
    <n v="199"/>
    <n v="87.46"/>
    <n v="99.12"/>
    <n v="20"/>
    <s v="Rainy"/>
    <n v="1"/>
    <n v="95.19"/>
    <x v="0"/>
  </r>
  <r>
    <d v="2022-01-05T00:00:00"/>
    <s v="S004"/>
    <s v="P0006"/>
    <x v="3"/>
    <x v="3"/>
    <n v="378"/>
    <n v="256"/>
    <n v="169"/>
    <n v="271.82"/>
    <n v="77.59"/>
    <n v="15"/>
    <s v="Sunny"/>
    <n v="0"/>
    <n v="79.28"/>
    <x v="0"/>
  </r>
  <r>
    <d v="2022-01-05T00:00:00"/>
    <s v="S004"/>
    <s v="P0007"/>
    <x v="2"/>
    <x v="0"/>
    <n v="249"/>
    <n v="246"/>
    <n v="124"/>
    <n v="246.58"/>
    <n v="87.6"/>
    <n v="10"/>
    <s v="Snowy"/>
    <n v="0"/>
    <n v="92.28"/>
    <x v="1"/>
  </r>
  <r>
    <d v="2022-01-05T00:00:00"/>
    <s v="S004"/>
    <s v="P0008"/>
    <x v="4"/>
    <x v="1"/>
    <n v="448"/>
    <n v="332"/>
    <n v="184"/>
    <n v="343.03"/>
    <n v="43.67"/>
    <n v="15"/>
    <s v="Cloudy"/>
    <n v="1"/>
    <n v="40.57"/>
    <x v="1"/>
  </r>
  <r>
    <d v="2022-01-05T00:00:00"/>
    <s v="S004"/>
    <s v="P0009"/>
    <x v="1"/>
    <x v="0"/>
    <n v="348"/>
    <n v="325"/>
    <n v="97"/>
    <n v="321.14999999999998"/>
    <n v="89.52"/>
    <n v="0"/>
    <s v="Rainy"/>
    <n v="0"/>
    <n v="87.3"/>
    <x v="1"/>
  </r>
  <r>
    <d v="2022-01-05T00:00:00"/>
    <s v="S004"/>
    <s v="P0010"/>
    <x v="0"/>
    <x v="3"/>
    <n v="412"/>
    <n v="53"/>
    <n v="75"/>
    <n v="72.67"/>
    <n v="12.89"/>
    <n v="0"/>
    <s v="Snowy"/>
    <n v="1"/>
    <n v="13.92"/>
    <x v="0"/>
  </r>
  <r>
    <d v="2022-01-05T00:00:00"/>
    <s v="S004"/>
    <s v="P0011"/>
    <x v="0"/>
    <x v="2"/>
    <n v="344"/>
    <n v="17"/>
    <n v="30"/>
    <n v="26.69"/>
    <n v="92.7"/>
    <n v="5"/>
    <s v="Sunny"/>
    <n v="0"/>
    <n v="97.29"/>
    <x v="0"/>
  </r>
  <r>
    <d v="2022-01-05T00:00:00"/>
    <s v="S004"/>
    <s v="P0012"/>
    <x v="1"/>
    <x v="2"/>
    <n v="475"/>
    <n v="223"/>
    <n v="172"/>
    <n v="241.25"/>
    <n v="31.47"/>
    <n v="20"/>
    <s v="Snowy"/>
    <n v="0"/>
    <n v="29.24"/>
    <x v="3"/>
  </r>
  <r>
    <d v="2022-01-05T00:00:00"/>
    <s v="S004"/>
    <s v="P0013"/>
    <x v="2"/>
    <x v="2"/>
    <n v="400"/>
    <n v="95"/>
    <n v="86"/>
    <n v="113.09"/>
    <n v="89.52"/>
    <n v="0"/>
    <s v="Cloudy"/>
    <n v="0"/>
    <n v="91.76"/>
    <x v="0"/>
  </r>
  <r>
    <d v="2022-01-05T00:00:00"/>
    <s v="S004"/>
    <s v="P0014"/>
    <x v="1"/>
    <x v="0"/>
    <n v="424"/>
    <n v="225"/>
    <n v="37"/>
    <n v="220.89"/>
    <n v="54.44"/>
    <n v="20"/>
    <s v="Sunny"/>
    <n v="0"/>
    <n v="57.58"/>
    <x v="2"/>
  </r>
  <r>
    <d v="2022-01-05T00:00:00"/>
    <s v="S004"/>
    <s v="P0015"/>
    <x v="0"/>
    <x v="3"/>
    <n v="441"/>
    <n v="216"/>
    <n v="118"/>
    <n v="207.56"/>
    <n v="21.75"/>
    <n v="15"/>
    <s v="Sunny"/>
    <n v="0"/>
    <n v="21.05"/>
    <x v="2"/>
  </r>
  <r>
    <d v="2022-01-05T00:00:00"/>
    <s v="S004"/>
    <s v="P0016"/>
    <x v="2"/>
    <x v="0"/>
    <n v="421"/>
    <n v="324"/>
    <n v="27"/>
    <n v="318.43"/>
    <n v="60.8"/>
    <n v="0"/>
    <s v="Rainy"/>
    <n v="1"/>
    <n v="58.01"/>
    <x v="3"/>
  </r>
  <r>
    <d v="2022-01-05T00:00:00"/>
    <s v="S004"/>
    <s v="P0017"/>
    <x v="1"/>
    <x v="1"/>
    <n v="278"/>
    <n v="75"/>
    <n v="56"/>
    <n v="90.62"/>
    <n v="60.17"/>
    <n v="5"/>
    <s v="Sunny"/>
    <n v="0"/>
    <n v="55.33"/>
    <x v="1"/>
  </r>
  <r>
    <d v="2022-01-05T00:00:00"/>
    <s v="S004"/>
    <s v="P0018"/>
    <x v="2"/>
    <x v="2"/>
    <n v="319"/>
    <n v="158"/>
    <n v="176"/>
    <n v="170.15"/>
    <n v="19.170000000000002"/>
    <n v="15"/>
    <s v="Rainy"/>
    <n v="1"/>
    <n v="20.52"/>
    <x v="2"/>
  </r>
  <r>
    <d v="2022-01-05T00:00:00"/>
    <s v="S004"/>
    <s v="P0019"/>
    <x v="2"/>
    <x v="2"/>
    <n v="353"/>
    <n v="55"/>
    <n v="35"/>
    <n v="56.6"/>
    <n v="45.92"/>
    <n v="20"/>
    <s v="Snowy"/>
    <n v="0"/>
    <n v="46.95"/>
    <x v="2"/>
  </r>
  <r>
    <d v="2022-01-05T00:00:00"/>
    <s v="S004"/>
    <s v="P0020"/>
    <x v="1"/>
    <x v="1"/>
    <n v="149"/>
    <n v="131"/>
    <n v="42"/>
    <n v="147.54"/>
    <n v="23.85"/>
    <n v="5"/>
    <s v="Cloudy"/>
    <n v="0"/>
    <n v="19.43"/>
    <x v="0"/>
  </r>
  <r>
    <d v="2022-01-05T00:00:00"/>
    <s v="S005"/>
    <s v="P0001"/>
    <x v="1"/>
    <x v="1"/>
    <n v="371"/>
    <n v="74"/>
    <n v="115"/>
    <n v="93.27"/>
    <n v="40.47"/>
    <n v="20"/>
    <s v="Cloudy"/>
    <n v="0"/>
    <n v="40.299999999999997"/>
    <x v="3"/>
  </r>
  <r>
    <d v="2022-01-05T00:00:00"/>
    <s v="S005"/>
    <s v="P0002"/>
    <x v="1"/>
    <x v="2"/>
    <n v="98"/>
    <n v="59"/>
    <n v="94"/>
    <n v="62.06"/>
    <n v="26.25"/>
    <n v="15"/>
    <s v="Snowy"/>
    <n v="1"/>
    <n v="28.27"/>
    <x v="0"/>
  </r>
  <r>
    <d v="2022-01-05T00:00:00"/>
    <s v="S005"/>
    <s v="P0003"/>
    <x v="2"/>
    <x v="1"/>
    <n v="318"/>
    <n v="150"/>
    <n v="171"/>
    <n v="145.30000000000001"/>
    <n v="82.08"/>
    <n v="5"/>
    <s v="Rainy"/>
    <n v="0"/>
    <n v="82.7"/>
    <x v="3"/>
  </r>
  <r>
    <d v="2022-01-05T00:00:00"/>
    <s v="S005"/>
    <s v="P0004"/>
    <x v="0"/>
    <x v="0"/>
    <n v="200"/>
    <n v="135"/>
    <n v="192"/>
    <n v="145.91"/>
    <n v="50.59"/>
    <n v="15"/>
    <s v="Sunny"/>
    <n v="0"/>
    <n v="54.05"/>
    <x v="3"/>
  </r>
  <r>
    <d v="2022-01-05T00:00:00"/>
    <s v="S005"/>
    <s v="P0005"/>
    <x v="1"/>
    <x v="2"/>
    <n v="299"/>
    <n v="79"/>
    <n v="117"/>
    <n v="97.08"/>
    <n v="49.08"/>
    <n v="5"/>
    <s v="Rainy"/>
    <n v="0"/>
    <n v="45.5"/>
    <x v="3"/>
  </r>
  <r>
    <d v="2022-01-05T00:00:00"/>
    <s v="S005"/>
    <s v="P0006"/>
    <x v="0"/>
    <x v="1"/>
    <n v="392"/>
    <n v="62"/>
    <n v="125"/>
    <n v="68.41"/>
    <n v="12.38"/>
    <n v="0"/>
    <s v="Rainy"/>
    <n v="1"/>
    <n v="16.239999999999998"/>
    <x v="1"/>
  </r>
  <r>
    <d v="2022-01-05T00:00:00"/>
    <s v="S005"/>
    <s v="P0007"/>
    <x v="4"/>
    <x v="3"/>
    <n v="399"/>
    <n v="130"/>
    <n v="77"/>
    <n v="123.53"/>
    <n v="49.02"/>
    <n v="20"/>
    <s v="Cloudy"/>
    <n v="0"/>
    <n v="53.33"/>
    <x v="0"/>
  </r>
  <r>
    <d v="2022-01-05T00:00:00"/>
    <s v="S005"/>
    <s v="P0008"/>
    <x v="1"/>
    <x v="0"/>
    <n v="192"/>
    <n v="74"/>
    <n v="116"/>
    <n v="66.44"/>
    <n v="27.08"/>
    <n v="10"/>
    <s v="Sunny"/>
    <n v="1"/>
    <n v="31.34"/>
    <x v="1"/>
  </r>
  <r>
    <d v="2022-01-05T00:00:00"/>
    <s v="S005"/>
    <s v="P0009"/>
    <x v="4"/>
    <x v="2"/>
    <n v="149"/>
    <n v="16"/>
    <n v="23"/>
    <n v="34.950000000000003"/>
    <n v="59.13"/>
    <n v="10"/>
    <s v="Rainy"/>
    <n v="0"/>
    <n v="59.09"/>
    <x v="1"/>
  </r>
  <r>
    <d v="2022-01-05T00:00:00"/>
    <s v="S005"/>
    <s v="P0010"/>
    <x v="3"/>
    <x v="0"/>
    <n v="406"/>
    <n v="342"/>
    <n v="195"/>
    <n v="353.01"/>
    <n v="43.1"/>
    <n v="5"/>
    <s v="Cloudy"/>
    <n v="1"/>
    <n v="42.19"/>
    <x v="1"/>
  </r>
  <r>
    <d v="2022-01-05T00:00:00"/>
    <s v="S005"/>
    <s v="P0011"/>
    <x v="2"/>
    <x v="1"/>
    <n v="91"/>
    <n v="48"/>
    <n v="155"/>
    <n v="51.37"/>
    <n v="13.33"/>
    <n v="5"/>
    <s v="Cloudy"/>
    <n v="0"/>
    <n v="13.1"/>
    <x v="0"/>
  </r>
  <r>
    <d v="2022-01-05T00:00:00"/>
    <s v="S005"/>
    <s v="P0012"/>
    <x v="4"/>
    <x v="3"/>
    <n v="228"/>
    <n v="224"/>
    <n v="147"/>
    <n v="218.16"/>
    <n v="98.66"/>
    <n v="10"/>
    <s v="Snowy"/>
    <n v="0"/>
    <n v="103.3"/>
    <x v="3"/>
  </r>
  <r>
    <d v="2022-01-05T00:00:00"/>
    <s v="S005"/>
    <s v="P0013"/>
    <x v="2"/>
    <x v="1"/>
    <n v="68"/>
    <n v="64"/>
    <n v="54"/>
    <n v="71.81"/>
    <n v="39.799999999999997"/>
    <n v="15"/>
    <s v="Rainy"/>
    <n v="1"/>
    <n v="35.380000000000003"/>
    <x v="1"/>
  </r>
  <r>
    <d v="2022-01-05T00:00:00"/>
    <s v="S005"/>
    <s v="P0014"/>
    <x v="1"/>
    <x v="0"/>
    <n v="358"/>
    <n v="322"/>
    <n v="36"/>
    <n v="316.68"/>
    <n v="86.26"/>
    <n v="10"/>
    <s v="Rainy"/>
    <n v="0"/>
    <n v="85.97"/>
    <x v="1"/>
  </r>
  <r>
    <d v="2022-01-05T00:00:00"/>
    <s v="S005"/>
    <s v="P0015"/>
    <x v="1"/>
    <x v="1"/>
    <n v="361"/>
    <n v="264"/>
    <n v="75"/>
    <n v="258.32"/>
    <n v="85.81"/>
    <n v="10"/>
    <s v="Snowy"/>
    <n v="1"/>
    <n v="89.25"/>
    <x v="1"/>
  </r>
  <r>
    <d v="2022-01-05T00:00:00"/>
    <s v="S005"/>
    <s v="P0016"/>
    <x v="2"/>
    <x v="2"/>
    <n v="371"/>
    <n v="343"/>
    <n v="98"/>
    <n v="350.28"/>
    <n v="58.21"/>
    <n v="20"/>
    <s v="Rainy"/>
    <n v="0"/>
    <n v="57.49"/>
    <x v="3"/>
  </r>
  <r>
    <d v="2022-01-05T00:00:00"/>
    <s v="S005"/>
    <s v="P0017"/>
    <x v="0"/>
    <x v="3"/>
    <n v="231"/>
    <n v="15"/>
    <n v="107"/>
    <n v="26.67"/>
    <n v="74.42"/>
    <n v="5"/>
    <s v="Cloudy"/>
    <n v="0"/>
    <n v="73.86"/>
    <x v="1"/>
  </r>
  <r>
    <d v="2022-01-05T00:00:00"/>
    <s v="S005"/>
    <s v="P0018"/>
    <x v="1"/>
    <x v="3"/>
    <n v="269"/>
    <n v="90"/>
    <n v="109"/>
    <n v="105.45"/>
    <n v="53.06"/>
    <n v="10"/>
    <s v="Sunny"/>
    <n v="0"/>
    <n v="56"/>
    <x v="1"/>
  </r>
  <r>
    <d v="2022-01-05T00:00:00"/>
    <s v="S005"/>
    <s v="P0019"/>
    <x v="4"/>
    <x v="1"/>
    <n v="444"/>
    <n v="143"/>
    <n v="196"/>
    <n v="153"/>
    <n v="61.9"/>
    <n v="15"/>
    <s v="Snowy"/>
    <n v="0"/>
    <n v="60.14"/>
    <x v="0"/>
  </r>
  <r>
    <d v="2022-01-05T00:00:00"/>
    <s v="S005"/>
    <s v="P0020"/>
    <x v="0"/>
    <x v="1"/>
    <n v="243"/>
    <n v="36"/>
    <n v="107"/>
    <n v="47.12"/>
    <n v="53.65"/>
    <n v="20"/>
    <s v="Cloudy"/>
    <n v="1"/>
    <n v="49.7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S001"/>
    <s v="P0001"/>
    <x v="0"/>
    <x v="0"/>
    <n v="231"/>
    <n v="127"/>
    <n v="55"/>
    <n v="135.47"/>
    <n v="33.5"/>
    <x v="0"/>
    <x v="0"/>
    <x v="0"/>
    <n v="29.69"/>
    <x v="0"/>
    <n v="0.54978354978354982"/>
  </r>
  <r>
    <x v="0"/>
    <s v="S001"/>
    <s v="P0002"/>
    <x v="1"/>
    <x v="1"/>
    <n v="204"/>
    <n v="150"/>
    <n v="66"/>
    <n v="144.04"/>
    <n v="63.01"/>
    <x v="0"/>
    <x v="1"/>
    <x v="0"/>
    <n v="66.16"/>
    <x v="0"/>
    <n v="0.73529411764705888"/>
  </r>
  <r>
    <x v="0"/>
    <s v="S001"/>
    <s v="P0003"/>
    <x v="1"/>
    <x v="2"/>
    <n v="102"/>
    <n v="65"/>
    <n v="51"/>
    <n v="74.02"/>
    <n v="27.99"/>
    <x v="1"/>
    <x v="1"/>
    <x v="1"/>
    <n v="31.32"/>
    <x v="1"/>
    <n v="0.63725490196078427"/>
  </r>
  <r>
    <x v="0"/>
    <s v="S001"/>
    <s v="P0004"/>
    <x v="1"/>
    <x v="0"/>
    <n v="469"/>
    <n v="61"/>
    <n v="164"/>
    <n v="62.18"/>
    <n v="32.72"/>
    <x v="1"/>
    <x v="2"/>
    <x v="1"/>
    <n v="34.74"/>
    <x v="0"/>
    <n v="0.13006396588486141"/>
  </r>
  <r>
    <x v="0"/>
    <s v="S001"/>
    <s v="P0005"/>
    <x v="2"/>
    <x v="3"/>
    <n v="166"/>
    <n v="14"/>
    <n v="135"/>
    <n v="9.26"/>
    <n v="73.64"/>
    <x v="2"/>
    <x v="1"/>
    <x v="0"/>
    <n v="68.95"/>
    <x v="1"/>
    <n v="8.4337349397590355E-2"/>
  </r>
  <r>
    <x v="0"/>
    <s v="S001"/>
    <s v="P0006"/>
    <x v="0"/>
    <x v="1"/>
    <n v="138"/>
    <n v="128"/>
    <n v="102"/>
    <n v="139.82"/>
    <n v="76.83"/>
    <x v="1"/>
    <x v="1"/>
    <x v="1"/>
    <n v="79.349999999999994"/>
    <x v="2"/>
    <n v="0.92753623188405798"/>
  </r>
  <r>
    <x v="0"/>
    <s v="S001"/>
    <s v="P0007"/>
    <x v="3"/>
    <x v="3"/>
    <n v="359"/>
    <n v="97"/>
    <n v="167"/>
    <n v="108.92"/>
    <n v="34.159999999999997"/>
    <x v="1"/>
    <x v="0"/>
    <x v="1"/>
    <n v="36.549999999999997"/>
    <x v="2"/>
    <n v="0.27019498607242337"/>
  </r>
  <r>
    <x v="0"/>
    <s v="S001"/>
    <s v="P0008"/>
    <x v="4"/>
    <x v="0"/>
    <n v="380"/>
    <n v="312"/>
    <n v="54"/>
    <n v="329.73"/>
    <n v="97.99"/>
    <x v="3"/>
    <x v="2"/>
    <x v="0"/>
    <n v="100.09"/>
    <x v="3"/>
    <n v="0.82105263157894737"/>
  </r>
  <r>
    <x v="0"/>
    <s v="S001"/>
    <s v="P0009"/>
    <x v="2"/>
    <x v="2"/>
    <n v="183"/>
    <n v="175"/>
    <n v="135"/>
    <n v="174.15"/>
    <n v="20.74"/>
    <x v="1"/>
    <x v="2"/>
    <x v="0"/>
    <n v="17.66"/>
    <x v="0"/>
    <n v="0.95628415300546443"/>
  </r>
  <r>
    <x v="0"/>
    <s v="S001"/>
    <s v="P0010"/>
    <x v="1"/>
    <x v="1"/>
    <n v="108"/>
    <n v="28"/>
    <n v="196"/>
    <n v="24.47"/>
    <n v="59.99"/>
    <x v="2"/>
    <x v="0"/>
    <x v="1"/>
    <n v="61.21"/>
    <x v="2"/>
    <n v="0.25925925925925924"/>
  </r>
  <r>
    <x v="0"/>
    <s v="S001"/>
    <s v="P0011"/>
    <x v="3"/>
    <x v="1"/>
    <n v="258"/>
    <n v="150"/>
    <n v="153"/>
    <n v="152.74"/>
    <n v="58.53"/>
    <x v="1"/>
    <x v="1"/>
    <x v="1"/>
    <n v="61.42"/>
    <x v="3"/>
    <n v="0.58139534883720934"/>
  </r>
  <r>
    <x v="0"/>
    <s v="S001"/>
    <s v="P0012"/>
    <x v="4"/>
    <x v="2"/>
    <n v="66"/>
    <n v="24"/>
    <n v="70"/>
    <n v="26.75"/>
    <n v="58.25"/>
    <x v="0"/>
    <x v="3"/>
    <x v="0"/>
    <n v="62.21"/>
    <x v="3"/>
    <n v="0.36363636363636365"/>
  </r>
  <r>
    <x v="0"/>
    <s v="S001"/>
    <s v="P0013"/>
    <x v="1"/>
    <x v="1"/>
    <n v="96"/>
    <n v="42"/>
    <n v="85"/>
    <n v="41.46"/>
    <n v="43.6"/>
    <x v="2"/>
    <x v="2"/>
    <x v="0"/>
    <n v="46.31"/>
    <x v="3"/>
    <n v="0.4375"/>
  </r>
  <r>
    <x v="0"/>
    <s v="S001"/>
    <s v="P0014"/>
    <x v="4"/>
    <x v="2"/>
    <n v="193"/>
    <n v="12"/>
    <n v="187"/>
    <n v="6.8"/>
    <n v="78.11"/>
    <x v="2"/>
    <x v="1"/>
    <x v="0"/>
    <n v="80.06"/>
    <x v="3"/>
    <n v="6.2176165803108807E-2"/>
  </r>
  <r>
    <x v="0"/>
    <s v="S001"/>
    <s v="P0015"/>
    <x v="4"/>
    <x v="0"/>
    <n v="379"/>
    <n v="369"/>
    <n v="154"/>
    <n v="363.46"/>
    <n v="92.99"/>
    <x v="4"/>
    <x v="3"/>
    <x v="0"/>
    <n v="95.8"/>
    <x v="2"/>
    <n v="0.97361477572559363"/>
  </r>
  <r>
    <x v="0"/>
    <s v="S001"/>
    <s v="P0016"/>
    <x v="2"/>
    <x v="0"/>
    <n v="363"/>
    <n v="255"/>
    <n v="69"/>
    <n v="255.74"/>
    <n v="21.9"/>
    <x v="3"/>
    <x v="2"/>
    <x v="1"/>
    <n v="20.27"/>
    <x v="0"/>
    <n v="0.7024793388429752"/>
  </r>
  <r>
    <x v="0"/>
    <s v="S001"/>
    <s v="P0017"/>
    <x v="1"/>
    <x v="2"/>
    <n v="318"/>
    <n v="246"/>
    <n v="177"/>
    <n v="255.37"/>
    <n v="21.07"/>
    <x v="0"/>
    <x v="1"/>
    <x v="0"/>
    <n v="16.489999999999998"/>
    <x v="2"/>
    <n v="0.77358490566037741"/>
  </r>
  <r>
    <x v="0"/>
    <s v="S001"/>
    <s v="P0018"/>
    <x v="4"/>
    <x v="1"/>
    <n v="241"/>
    <n v="151"/>
    <n v="47"/>
    <n v="147.27000000000001"/>
    <n v="19.57"/>
    <x v="3"/>
    <x v="2"/>
    <x v="0"/>
    <n v="23.13"/>
    <x v="0"/>
    <n v="0.62655601659751037"/>
  </r>
  <r>
    <x v="0"/>
    <s v="S001"/>
    <s v="P0019"/>
    <x v="4"/>
    <x v="3"/>
    <n v="352"/>
    <n v="257"/>
    <n v="186"/>
    <n v="267.38"/>
    <n v="73.28"/>
    <x v="1"/>
    <x v="2"/>
    <x v="0"/>
    <n v="77.260000000000005"/>
    <x v="2"/>
    <n v="0.73011363636363635"/>
  </r>
  <r>
    <x v="0"/>
    <s v="S001"/>
    <s v="P0020"/>
    <x v="1"/>
    <x v="3"/>
    <n v="274"/>
    <n v="99"/>
    <n v="166"/>
    <n v="115.23"/>
    <n v="30.24"/>
    <x v="3"/>
    <x v="2"/>
    <x v="0"/>
    <n v="27.1"/>
    <x v="3"/>
    <n v="0.36131386861313869"/>
  </r>
  <r>
    <x v="0"/>
    <s v="S002"/>
    <s v="P0001"/>
    <x v="0"/>
    <x v="1"/>
    <n v="343"/>
    <n v="104"/>
    <n v="144"/>
    <n v="112.55"/>
    <n v="32.799999999999997"/>
    <x v="0"/>
    <x v="1"/>
    <x v="1"/>
    <n v="30.78"/>
    <x v="3"/>
    <n v="0.30320699708454812"/>
  </r>
  <r>
    <x v="0"/>
    <s v="S002"/>
    <s v="P0002"/>
    <x v="4"/>
    <x v="2"/>
    <n v="373"/>
    <n v="141"/>
    <n v="151"/>
    <n v="135.62"/>
    <n v="46.16"/>
    <x v="1"/>
    <x v="0"/>
    <x v="1"/>
    <n v="45.21"/>
    <x v="2"/>
    <n v="0.37801608579088469"/>
  </r>
  <r>
    <x v="0"/>
    <s v="S002"/>
    <s v="P0003"/>
    <x v="3"/>
    <x v="3"/>
    <n v="445"/>
    <n v="182"/>
    <n v="119"/>
    <n v="176.31"/>
    <n v="20.46"/>
    <x v="0"/>
    <x v="3"/>
    <x v="1"/>
    <n v="22"/>
    <x v="3"/>
    <n v="0.40898876404494383"/>
  </r>
  <r>
    <x v="0"/>
    <s v="S002"/>
    <s v="P0004"/>
    <x v="1"/>
    <x v="2"/>
    <n v="191"/>
    <n v="63"/>
    <n v="115"/>
    <n v="54.57"/>
    <n v="26.19"/>
    <x v="2"/>
    <x v="2"/>
    <x v="0"/>
    <n v="28.06"/>
    <x v="0"/>
    <n v="0.32984293193717279"/>
  </r>
  <r>
    <x v="0"/>
    <s v="S002"/>
    <s v="P0005"/>
    <x v="1"/>
    <x v="2"/>
    <n v="281"/>
    <n v="156"/>
    <n v="25"/>
    <n v="150.9"/>
    <n v="83.29"/>
    <x v="0"/>
    <x v="0"/>
    <x v="0"/>
    <n v="80.64"/>
    <x v="0"/>
    <n v="0.55516014234875444"/>
  </r>
  <r>
    <x v="0"/>
    <s v="S002"/>
    <s v="P0006"/>
    <x v="3"/>
    <x v="0"/>
    <n v="492"/>
    <n v="250"/>
    <n v="168"/>
    <n v="242.57"/>
    <n v="85.59"/>
    <x v="0"/>
    <x v="2"/>
    <x v="0"/>
    <n v="86.82"/>
    <x v="2"/>
    <n v="0.50813008130081305"/>
  </r>
  <r>
    <x v="0"/>
    <s v="S002"/>
    <s v="P0007"/>
    <x v="0"/>
    <x v="2"/>
    <n v="460"/>
    <n v="393"/>
    <n v="70"/>
    <n v="401.48"/>
    <n v="91.13"/>
    <x v="3"/>
    <x v="1"/>
    <x v="0"/>
    <n v="93.33"/>
    <x v="1"/>
    <n v="0.85434782608695647"/>
  </r>
  <r>
    <x v="0"/>
    <s v="S002"/>
    <s v="P0008"/>
    <x v="2"/>
    <x v="2"/>
    <n v="304"/>
    <n v="29"/>
    <n v="99"/>
    <n v="35.54"/>
    <n v="66.959999999999994"/>
    <x v="0"/>
    <x v="3"/>
    <x v="0"/>
    <n v="65.36"/>
    <x v="1"/>
    <n v="9.5394736842105268E-2"/>
  </r>
  <r>
    <x v="0"/>
    <s v="S002"/>
    <s v="P0009"/>
    <x v="4"/>
    <x v="1"/>
    <n v="113"/>
    <n v="9"/>
    <n v="84"/>
    <n v="14.78"/>
    <n v="81.290000000000006"/>
    <x v="3"/>
    <x v="0"/>
    <x v="1"/>
    <n v="82.06"/>
    <x v="2"/>
    <n v="7.9646017699115043E-2"/>
  </r>
  <r>
    <x v="0"/>
    <s v="S002"/>
    <s v="P0010"/>
    <x v="2"/>
    <x v="0"/>
    <n v="157"/>
    <n v="126"/>
    <n v="181"/>
    <n v="132.75"/>
    <n v="60.84"/>
    <x v="2"/>
    <x v="3"/>
    <x v="1"/>
    <n v="65.22"/>
    <x v="2"/>
    <n v="0.80254777070063699"/>
  </r>
  <r>
    <x v="0"/>
    <s v="S002"/>
    <s v="P0011"/>
    <x v="0"/>
    <x v="2"/>
    <n v="67"/>
    <n v="13"/>
    <n v="33"/>
    <n v="7.44"/>
    <n v="34.619999999999997"/>
    <x v="2"/>
    <x v="3"/>
    <x v="1"/>
    <n v="33.979999999999997"/>
    <x v="0"/>
    <n v="0.19402985074626866"/>
  </r>
  <r>
    <x v="0"/>
    <s v="S002"/>
    <s v="P0012"/>
    <x v="0"/>
    <x v="3"/>
    <n v="281"/>
    <n v="25"/>
    <n v="136"/>
    <n v="37.270000000000003"/>
    <n v="19.559999999999999"/>
    <x v="3"/>
    <x v="0"/>
    <x v="1"/>
    <n v="19.010000000000002"/>
    <x v="2"/>
    <n v="8.8967971530249115E-2"/>
  </r>
  <r>
    <x v="0"/>
    <s v="S002"/>
    <s v="P0013"/>
    <x v="4"/>
    <x v="3"/>
    <n v="389"/>
    <n v="283"/>
    <n v="177"/>
    <n v="299.7"/>
    <n v="57.78"/>
    <x v="0"/>
    <x v="2"/>
    <x v="0"/>
    <n v="58.5"/>
    <x v="3"/>
    <n v="0.72750642673521848"/>
  </r>
  <r>
    <x v="0"/>
    <s v="S002"/>
    <s v="P0014"/>
    <x v="2"/>
    <x v="3"/>
    <n v="465"/>
    <n v="359"/>
    <n v="77"/>
    <n v="370.36"/>
    <n v="91.28"/>
    <x v="0"/>
    <x v="2"/>
    <x v="0"/>
    <n v="90.85"/>
    <x v="1"/>
    <n v="0.77204301075268822"/>
  </r>
  <r>
    <x v="0"/>
    <s v="S002"/>
    <s v="P0015"/>
    <x v="1"/>
    <x v="1"/>
    <n v="197"/>
    <n v="129"/>
    <n v="94"/>
    <n v="148.55000000000001"/>
    <n v="59.9"/>
    <x v="4"/>
    <x v="1"/>
    <x v="1"/>
    <n v="55.23"/>
    <x v="2"/>
    <n v="0.65482233502538068"/>
  </r>
  <r>
    <x v="0"/>
    <s v="S002"/>
    <s v="P0016"/>
    <x v="1"/>
    <x v="1"/>
    <n v="242"/>
    <n v="63"/>
    <n v="85"/>
    <n v="58.07"/>
    <n v="45.65"/>
    <x v="0"/>
    <x v="0"/>
    <x v="1"/>
    <n v="42.17"/>
    <x v="3"/>
    <n v="0.26033057851239672"/>
  </r>
  <r>
    <x v="0"/>
    <s v="S002"/>
    <s v="P0017"/>
    <x v="0"/>
    <x v="2"/>
    <n v="398"/>
    <n v="373"/>
    <n v="92"/>
    <n v="390.89"/>
    <n v="11.71"/>
    <x v="0"/>
    <x v="2"/>
    <x v="1"/>
    <n v="10"/>
    <x v="2"/>
    <n v="0.93718592964824121"/>
  </r>
  <r>
    <x v="0"/>
    <s v="S002"/>
    <s v="P0018"/>
    <x v="0"/>
    <x v="0"/>
    <n v="234"/>
    <n v="160"/>
    <n v="140"/>
    <n v="177.41"/>
    <n v="58.84"/>
    <x v="3"/>
    <x v="2"/>
    <x v="0"/>
    <n v="54.39"/>
    <x v="1"/>
    <n v="0.68376068376068377"/>
  </r>
  <r>
    <x v="0"/>
    <s v="S002"/>
    <s v="P0019"/>
    <x v="1"/>
    <x v="3"/>
    <n v="67"/>
    <n v="15"/>
    <n v="186"/>
    <n v="34.380000000000003"/>
    <n v="84.99"/>
    <x v="3"/>
    <x v="1"/>
    <x v="1"/>
    <n v="81.02"/>
    <x v="2"/>
    <n v="0.22388059701492538"/>
  </r>
  <r>
    <x v="0"/>
    <s v="S002"/>
    <s v="P0020"/>
    <x v="1"/>
    <x v="2"/>
    <n v="221"/>
    <n v="101"/>
    <n v="38"/>
    <n v="115"/>
    <n v="87.1"/>
    <x v="2"/>
    <x v="0"/>
    <x v="1"/>
    <n v="91.56"/>
    <x v="3"/>
    <n v="0.45701357466063347"/>
  </r>
  <r>
    <x v="0"/>
    <s v="S003"/>
    <s v="P0001"/>
    <x v="1"/>
    <x v="1"/>
    <n v="241"/>
    <n v="147"/>
    <n v="180"/>
    <n v="161.09"/>
    <n v="67.209999999999994"/>
    <x v="3"/>
    <x v="1"/>
    <x v="1"/>
    <n v="67.39"/>
    <x v="1"/>
    <n v="0.60995850622406644"/>
  </r>
  <r>
    <x v="0"/>
    <s v="S003"/>
    <s v="P0002"/>
    <x v="2"/>
    <x v="2"/>
    <n v="115"/>
    <n v="4"/>
    <n v="169"/>
    <n v="11.11"/>
    <n v="28.2"/>
    <x v="1"/>
    <x v="1"/>
    <x v="1"/>
    <n v="25.63"/>
    <x v="3"/>
    <n v="3.4782608695652174E-2"/>
  </r>
  <r>
    <x v="0"/>
    <s v="S003"/>
    <s v="P0003"/>
    <x v="0"/>
    <x v="1"/>
    <n v="375"/>
    <n v="77"/>
    <n v="145"/>
    <n v="75.040000000000006"/>
    <n v="56.16"/>
    <x v="1"/>
    <x v="1"/>
    <x v="1"/>
    <n v="57.16"/>
    <x v="3"/>
    <n v="0.20533333333333334"/>
  </r>
  <r>
    <x v="0"/>
    <s v="S003"/>
    <s v="P0004"/>
    <x v="1"/>
    <x v="1"/>
    <n v="153"/>
    <n v="31"/>
    <n v="145"/>
    <n v="42.99"/>
    <n v="89.53"/>
    <x v="0"/>
    <x v="0"/>
    <x v="1"/>
    <n v="93.6"/>
    <x v="2"/>
    <n v="0.20261437908496732"/>
  </r>
  <r>
    <x v="0"/>
    <s v="S003"/>
    <s v="P0005"/>
    <x v="4"/>
    <x v="2"/>
    <n v="438"/>
    <n v="325"/>
    <n v="20"/>
    <n v="330.92"/>
    <n v="97.95"/>
    <x v="0"/>
    <x v="1"/>
    <x v="0"/>
    <n v="93.54"/>
    <x v="2"/>
    <n v="0.74200913242009137"/>
  </r>
  <r>
    <x v="0"/>
    <s v="S003"/>
    <s v="P0006"/>
    <x v="0"/>
    <x v="0"/>
    <n v="456"/>
    <n v="163"/>
    <n v="22"/>
    <n v="159.16999999999999"/>
    <n v="76.37"/>
    <x v="3"/>
    <x v="0"/>
    <x v="1"/>
    <n v="71.38"/>
    <x v="1"/>
    <n v="0.35745614035087719"/>
  </r>
  <r>
    <x v="0"/>
    <s v="S003"/>
    <s v="P0007"/>
    <x v="2"/>
    <x v="0"/>
    <n v="189"/>
    <n v="34"/>
    <n v="107"/>
    <n v="26.91"/>
    <n v="86.99"/>
    <x v="4"/>
    <x v="0"/>
    <x v="1"/>
    <n v="90.5"/>
    <x v="1"/>
    <n v="0.17989417989417988"/>
  </r>
  <r>
    <x v="0"/>
    <s v="S003"/>
    <s v="P0008"/>
    <x v="1"/>
    <x v="0"/>
    <n v="223"/>
    <n v="47"/>
    <n v="107"/>
    <n v="45.48"/>
    <n v="66.53"/>
    <x v="4"/>
    <x v="2"/>
    <x v="1"/>
    <n v="70.459999999999994"/>
    <x v="3"/>
    <n v="0.21076233183856502"/>
  </r>
  <r>
    <x v="0"/>
    <s v="S003"/>
    <s v="P0009"/>
    <x v="0"/>
    <x v="1"/>
    <n v="381"/>
    <n v="15"/>
    <n v="184"/>
    <n v="30.05"/>
    <n v="74.86"/>
    <x v="4"/>
    <x v="3"/>
    <x v="1"/>
    <n v="73.930000000000007"/>
    <x v="2"/>
    <n v="3.937007874015748E-2"/>
  </r>
  <r>
    <x v="0"/>
    <s v="S003"/>
    <s v="P0010"/>
    <x v="0"/>
    <x v="1"/>
    <n v="166"/>
    <n v="126"/>
    <n v="124"/>
    <n v="141.34"/>
    <n v="97.09"/>
    <x v="3"/>
    <x v="0"/>
    <x v="1"/>
    <n v="95.8"/>
    <x v="1"/>
    <n v="0.75903614457831325"/>
  </r>
  <r>
    <x v="0"/>
    <s v="S003"/>
    <s v="P0011"/>
    <x v="1"/>
    <x v="3"/>
    <n v="292"/>
    <n v="232"/>
    <n v="155"/>
    <n v="242.02"/>
    <n v="56.19"/>
    <x v="2"/>
    <x v="3"/>
    <x v="1"/>
    <n v="57.85"/>
    <x v="2"/>
    <n v="0.79452054794520544"/>
  </r>
  <r>
    <x v="0"/>
    <s v="S003"/>
    <s v="P0012"/>
    <x v="2"/>
    <x v="0"/>
    <n v="311"/>
    <n v="175"/>
    <n v="55"/>
    <n v="176.75"/>
    <n v="90.38"/>
    <x v="0"/>
    <x v="2"/>
    <x v="0"/>
    <n v="89.52"/>
    <x v="1"/>
    <n v="0.56270096463022512"/>
  </r>
  <r>
    <x v="0"/>
    <s v="S003"/>
    <s v="P0013"/>
    <x v="3"/>
    <x v="0"/>
    <n v="51"/>
    <n v="17"/>
    <n v="172"/>
    <n v="12.86"/>
    <n v="73.98"/>
    <x v="0"/>
    <x v="2"/>
    <x v="1"/>
    <n v="76.650000000000006"/>
    <x v="1"/>
    <n v="0.33333333333333331"/>
  </r>
  <r>
    <x v="0"/>
    <s v="S003"/>
    <s v="P0014"/>
    <x v="2"/>
    <x v="1"/>
    <n v="398"/>
    <n v="369"/>
    <n v="26"/>
    <n v="387.88"/>
    <n v="79.03"/>
    <x v="3"/>
    <x v="0"/>
    <x v="0"/>
    <n v="82.51"/>
    <x v="3"/>
    <n v="0.92713567839195976"/>
  </r>
  <r>
    <x v="0"/>
    <s v="S003"/>
    <s v="P0015"/>
    <x v="4"/>
    <x v="2"/>
    <n v="445"/>
    <n v="260"/>
    <n v="24"/>
    <n v="266.36"/>
    <n v="27.72"/>
    <x v="3"/>
    <x v="3"/>
    <x v="0"/>
    <n v="23.28"/>
    <x v="0"/>
    <n v="0.5842696629213483"/>
  </r>
  <r>
    <x v="0"/>
    <s v="S003"/>
    <s v="P0016"/>
    <x v="0"/>
    <x v="1"/>
    <n v="487"/>
    <n v="347"/>
    <n v="93"/>
    <n v="349.36"/>
    <n v="98.18"/>
    <x v="4"/>
    <x v="0"/>
    <x v="0"/>
    <n v="99.58"/>
    <x v="2"/>
    <n v="0.71252566735112932"/>
  </r>
  <r>
    <x v="0"/>
    <s v="S003"/>
    <s v="P0017"/>
    <x v="4"/>
    <x v="3"/>
    <n v="429"/>
    <n v="150"/>
    <n v="168"/>
    <n v="157.82"/>
    <n v="27.1"/>
    <x v="3"/>
    <x v="2"/>
    <x v="1"/>
    <n v="27.4"/>
    <x v="3"/>
    <n v="0.34965034965034963"/>
  </r>
  <r>
    <x v="0"/>
    <s v="S003"/>
    <s v="P0018"/>
    <x v="1"/>
    <x v="2"/>
    <n v="204"/>
    <n v="70"/>
    <n v="170"/>
    <n v="83.01"/>
    <n v="97.08"/>
    <x v="4"/>
    <x v="3"/>
    <x v="1"/>
    <n v="94.88"/>
    <x v="2"/>
    <n v="0.34313725490196079"/>
  </r>
  <r>
    <x v="0"/>
    <s v="S003"/>
    <s v="P0019"/>
    <x v="4"/>
    <x v="3"/>
    <n v="330"/>
    <n v="249"/>
    <n v="37"/>
    <n v="268.25"/>
    <n v="26.71"/>
    <x v="4"/>
    <x v="2"/>
    <x v="1"/>
    <n v="24.81"/>
    <x v="1"/>
    <n v="0.75454545454545452"/>
  </r>
  <r>
    <x v="0"/>
    <s v="S003"/>
    <s v="P0020"/>
    <x v="2"/>
    <x v="0"/>
    <n v="431"/>
    <n v="370"/>
    <n v="99"/>
    <n v="387.57"/>
    <n v="95.85"/>
    <x v="0"/>
    <x v="2"/>
    <x v="1"/>
    <n v="95.7"/>
    <x v="3"/>
    <n v="0.85846867749419953"/>
  </r>
  <r>
    <x v="0"/>
    <s v="S004"/>
    <s v="P0001"/>
    <x v="1"/>
    <x v="1"/>
    <n v="477"/>
    <n v="271"/>
    <n v="66"/>
    <n v="286.64999999999998"/>
    <n v="15.62"/>
    <x v="4"/>
    <x v="1"/>
    <x v="0"/>
    <n v="16.09"/>
    <x v="2"/>
    <n v="0.56813417190775684"/>
  </r>
  <r>
    <x v="0"/>
    <s v="S004"/>
    <s v="P0002"/>
    <x v="4"/>
    <x v="0"/>
    <n v="462"/>
    <n v="180"/>
    <n v="183"/>
    <n v="176.06"/>
    <n v="41.13"/>
    <x v="3"/>
    <x v="1"/>
    <x v="0"/>
    <n v="45.05"/>
    <x v="0"/>
    <n v="0.38961038961038963"/>
  </r>
  <r>
    <x v="0"/>
    <s v="S004"/>
    <s v="P0003"/>
    <x v="4"/>
    <x v="2"/>
    <n v="446"/>
    <n v="344"/>
    <n v="27"/>
    <n v="352.93"/>
    <n v="89.32"/>
    <x v="0"/>
    <x v="2"/>
    <x v="0"/>
    <n v="93"/>
    <x v="0"/>
    <n v="0.77130044843049328"/>
  </r>
  <r>
    <x v="0"/>
    <s v="S004"/>
    <s v="P0004"/>
    <x v="0"/>
    <x v="2"/>
    <n v="437"/>
    <n v="0"/>
    <n v="160"/>
    <n v="-2.4"/>
    <n v="87.23"/>
    <x v="1"/>
    <x v="1"/>
    <x v="0"/>
    <n v="90.36"/>
    <x v="3"/>
    <n v="0"/>
  </r>
  <r>
    <x v="0"/>
    <s v="S004"/>
    <s v="P0005"/>
    <x v="0"/>
    <x v="0"/>
    <n v="397"/>
    <n v="200"/>
    <n v="172"/>
    <n v="196.57"/>
    <n v="81.72"/>
    <x v="2"/>
    <x v="3"/>
    <x v="1"/>
    <n v="85.22"/>
    <x v="3"/>
    <n v="0.50377833753148615"/>
  </r>
  <r>
    <x v="0"/>
    <s v="S004"/>
    <s v="P0006"/>
    <x v="2"/>
    <x v="3"/>
    <n v="470"/>
    <n v="382"/>
    <n v="195"/>
    <n v="396.4"/>
    <n v="41.35"/>
    <x v="1"/>
    <x v="3"/>
    <x v="0"/>
    <n v="39.86"/>
    <x v="1"/>
    <n v="0.81276595744680846"/>
  </r>
  <r>
    <x v="0"/>
    <s v="S004"/>
    <s v="P0007"/>
    <x v="2"/>
    <x v="2"/>
    <n v="264"/>
    <n v="190"/>
    <n v="139"/>
    <n v="197.45"/>
    <n v="67.260000000000005"/>
    <x v="0"/>
    <x v="2"/>
    <x v="0"/>
    <n v="64.78"/>
    <x v="1"/>
    <n v="0.71969696969696972"/>
  </r>
  <r>
    <x v="0"/>
    <s v="S004"/>
    <s v="P0008"/>
    <x v="3"/>
    <x v="1"/>
    <n v="250"/>
    <n v="51"/>
    <n v="137"/>
    <n v="54.98"/>
    <n v="85.88"/>
    <x v="0"/>
    <x v="3"/>
    <x v="1"/>
    <n v="86.14"/>
    <x v="2"/>
    <n v="0.20399999999999999"/>
  </r>
  <r>
    <x v="0"/>
    <s v="S004"/>
    <s v="P0009"/>
    <x v="3"/>
    <x v="0"/>
    <n v="63"/>
    <n v="40"/>
    <n v="73"/>
    <n v="51.78"/>
    <n v="59.23"/>
    <x v="1"/>
    <x v="0"/>
    <x v="1"/>
    <n v="61.1"/>
    <x v="1"/>
    <n v="0.63492063492063489"/>
  </r>
  <r>
    <x v="0"/>
    <s v="S004"/>
    <s v="P0010"/>
    <x v="0"/>
    <x v="3"/>
    <n v="447"/>
    <n v="104"/>
    <n v="96"/>
    <n v="115.03"/>
    <n v="33.479999999999997"/>
    <x v="4"/>
    <x v="2"/>
    <x v="0"/>
    <n v="37.15"/>
    <x v="1"/>
    <n v="0.23266219239373601"/>
  </r>
  <r>
    <x v="0"/>
    <s v="S004"/>
    <s v="P0011"/>
    <x v="2"/>
    <x v="2"/>
    <n v="205"/>
    <n v="46"/>
    <n v="27"/>
    <n v="46.65"/>
    <n v="54.84"/>
    <x v="2"/>
    <x v="1"/>
    <x v="1"/>
    <n v="57.76"/>
    <x v="3"/>
    <n v="0.22439024390243903"/>
  </r>
  <r>
    <x v="0"/>
    <s v="S004"/>
    <s v="P0012"/>
    <x v="2"/>
    <x v="0"/>
    <n v="349"/>
    <n v="9"/>
    <n v="165"/>
    <n v="0.95"/>
    <n v="14.25"/>
    <x v="3"/>
    <x v="0"/>
    <x v="1"/>
    <n v="18.559999999999999"/>
    <x v="3"/>
    <n v="2.5787965616045846E-2"/>
  </r>
  <r>
    <x v="0"/>
    <s v="S004"/>
    <s v="P0013"/>
    <x v="3"/>
    <x v="3"/>
    <n v="191"/>
    <n v="56"/>
    <n v="65"/>
    <n v="54.47"/>
    <n v="61.81"/>
    <x v="2"/>
    <x v="1"/>
    <x v="0"/>
    <n v="63.92"/>
    <x v="0"/>
    <n v="0.29319371727748689"/>
  </r>
  <r>
    <x v="0"/>
    <s v="S004"/>
    <s v="P0014"/>
    <x v="2"/>
    <x v="2"/>
    <n v="406"/>
    <n v="63"/>
    <n v="139"/>
    <n v="69.73"/>
    <n v="66.94"/>
    <x v="1"/>
    <x v="3"/>
    <x v="1"/>
    <n v="68.47"/>
    <x v="2"/>
    <n v="0.15517241379310345"/>
  </r>
  <r>
    <x v="0"/>
    <s v="S004"/>
    <s v="P0015"/>
    <x v="4"/>
    <x v="1"/>
    <n v="228"/>
    <n v="181"/>
    <n v="127"/>
    <n v="171.96"/>
    <n v="60.54"/>
    <x v="3"/>
    <x v="2"/>
    <x v="0"/>
    <n v="65.27"/>
    <x v="0"/>
    <n v="0.79385964912280704"/>
  </r>
  <r>
    <x v="0"/>
    <s v="S004"/>
    <s v="P0016"/>
    <x v="0"/>
    <x v="1"/>
    <n v="263"/>
    <n v="94"/>
    <n v="24"/>
    <n v="98.05"/>
    <n v="94.26"/>
    <x v="4"/>
    <x v="0"/>
    <x v="0"/>
    <n v="96.74"/>
    <x v="1"/>
    <n v="0.35741444866920152"/>
  </r>
  <r>
    <x v="0"/>
    <s v="S004"/>
    <s v="P0017"/>
    <x v="2"/>
    <x v="1"/>
    <n v="203"/>
    <n v="46"/>
    <n v="75"/>
    <n v="55.12"/>
    <n v="25.55"/>
    <x v="2"/>
    <x v="0"/>
    <x v="0"/>
    <n v="28.07"/>
    <x v="2"/>
    <n v="0.22660098522167488"/>
  </r>
  <r>
    <x v="0"/>
    <s v="S004"/>
    <s v="P0018"/>
    <x v="0"/>
    <x v="2"/>
    <n v="143"/>
    <n v="8"/>
    <n v="27"/>
    <n v="27.3"/>
    <n v="16.73"/>
    <x v="3"/>
    <x v="2"/>
    <x v="1"/>
    <n v="18.79"/>
    <x v="3"/>
    <n v="5.5944055944055944E-2"/>
  </r>
  <r>
    <x v="0"/>
    <s v="S004"/>
    <s v="P0019"/>
    <x v="0"/>
    <x v="2"/>
    <n v="359"/>
    <n v="172"/>
    <n v="125"/>
    <n v="181.25"/>
    <n v="71.2"/>
    <x v="4"/>
    <x v="0"/>
    <x v="1"/>
    <n v="73.849999999999994"/>
    <x v="3"/>
    <n v="0.47910863509749302"/>
  </r>
  <r>
    <x v="0"/>
    <s v="S004"/>
    <s v="P0020"/>
    <x v="4"/>
    <x v="2"/>
    <n v="211"/>
    <n v="68"/>
    <n v="37"/>
    <n v="86.27"/>
    <n v="11.5"/>
    <x v="0"/>
    <x v="3"/>
    <x v="0"/>
    <n v="9.26"/>
    <x v="2"/>
    <n v="0.32227488151658767"/>
  </r>
  <r>
    <x v="0"/>
    <s v="S005"/>
    <s v="P0001"/>
    <x v="1"/>
    <x v="2"/>
    <n v="111"/>
    <n v="77"/>
    <n v="60"/>
    <n v="83.47"/>
    <n v="70.33"/>
    <x v="1"/>
    <x v="2"/>
    <x v="0"/>
    <n v="70.290000000000006"/>
    <x v="2"/>
    <n v="0.69369369369369371"/>
  </r>
  <r>
    <x v="0"/>
    <s v="S005"/>
    <s v="P0002"/>
    <x v="4"/>
    <x v="2"/>
    <n v="415"/>
    <n v="298"/>
    <n v="107"/>
    <n v="292.95999999999998"/>
    <n v="57.15"/>
    <x v="3"/>
    <x v="3"/>
    <x v="1"/>
    <n v="60.71"/>
    <x v="0"/>
    <n v="0.71807228915662646"/>
  </r>
  <r>
    <x v="0"/>
    <s v="S005"/>
    <s v="P0003"/>
    <x v="2"/>
    <x v="0"/>
    <n v="384"/>
    <n v="64"/>
    <n v="26"/>
    <n v="76.02"/>
    <n v="36.17"/>
    <x v="3"/>
    <x v="1"/>
    <x v="0"/>
    <n v="40.93"/>
    <x v="3"/>
    <n v="0.16666666666666666"/>
  </r>
  <r>
    <x v="0"/>
    <s v="S005"/>
    <s v="P0004"/>
    <x v="3"/>
    <x v="2"/>
    <n v="436"/>
    <n v="300"/>
    <n v="174"/>
    <n v="292.04000000000002"/>
    <n v="50.77"/>
    <x v="4"/>
    <x v="3"/>
    <x v="1"/>
    <n v="54.7"/>
    <x v="3"/>
    <n v="0.68807339449541283"/>
  </r>
  <r>
    <x v="0"/>
    <s v="S005"/>
    <s v="P0005"/>
    <x v="4"/>
    <x v="2"/>
    <n v="180"/>
    <n v="21"/>
    <n v="47"/>
    <n v="38.630000000000003"/>
    <n v="92.86"/>
    <x v="4"/>
    <x v="0"/>
    <x v="1"/>
    <n v="96.3"/>
    <x v="2"/>
    <n v="0.11666666666666667"/>
  </r>
  <r>
    <x v="0"/>
    <s v="S005"/>
    <s v="P0006"/>
    <x v="0"/>
    <x v="0"/>
    <n v="185"/>
    <n v="176"/>
    <n v="163"/>
    <n v="174.06"/>
    <n v="60.76"/>
    <x v="0"/>
    <x v="2"/>
    <x v="0"/>
    <n v="61.15"/>
    <x v="1"/>
    <n v="0.9513513513513514"/>
  </r>
  <r>
    <x v="0"/>
    <s v="S005"/>
    <s v="P0007"/>
    <x v="4"/>
    <x v="1"/>
    <n v="292"/>
    <n v="131"/>
    <n v="140"/>
    <n v="122.6"/>
    <n v="46.47"/>
    <x v="4"/>
    <x v="3"/>
    <x v="0"/>
    <n v="50.84"/>
    <x v="1"/>
    <n v="0.44863013698630139"/>
  </r>
  <r>
    <x v="0"/>
    <s v="S005"/>
    <s v="P0008"/>
    <x v="1"/>
    <x v="2"/>
    <n v="478"/>
    <n v="317"/>
    <n v="197"/>
    <n v="328.64"/>
    <n v="34.08"/>
    <x v="3"/>
    <x v="3"/>
    <x v="1"/>
    <n v="30.44"/>
    <x v="2"/>
    <n v="0.66317991631799167"/>
  </r>
  <r>
    <x v="0"/>
    <s v="S005"/>
    <s v="P0009"/>
    <x v="0"/>
    <x v="2"/>
    <n v="182"/>
    <n v="97"/>
    <n v="27"/>
    <n v="92.62"/>
    <n v="87.81"/>
    <x v="3"/>
    <x v="3"/>
    <x v="0"/>
    <n v="85.45"/>
    <x v="3"/>
    <n v="0.53296703296703296"/>
  </r>
  <r>
    <x v="0"/>
    <s v="S005"/>
    <s v="P0010"/>
    <x v="4"/>
    <x v="3"/>
    <n v="87"/>
    <n v="8"/>
    <n v="141"/>
    <n v="14.38"/>
    <n v="37.04"/>
    <x v="1"/>
    <x v="0"/>
    <x v="1"/>
    <n v="36.869999999999997"/>
    <x v="1"/>
    <n v="9.1954022988505746E-2"/>
  </r>
  <r>
    <x v="0"/>
    <s v="S005"/>
    <s v="P0011"/>
    <x v="0"/>
    <x v="2"/>
    <n v="427"/>
    <n v="104"/>
    <n v="128"/>
    <n v="94.65"/>
    <n v="54.12"/>
    <x v="1"/>
    <x v="0"/>
    <x v="1"/>
    <n v="53.03"/>
    <x v="1"/>
    <n v="0.24355971896955503"/>
  </r>
  <r>
    <x v="0"/>
    <s v="S005"/>
    <s v="P0012"/>
    <x v="2"/>
    <x v="2"/>
    <n v="245"/>
    <n v="87"/>
    <n v="188"/>
    <n v="90.59"/>
    <n v="67.64"/>
    <x v="4"/>
    <x v="1"/>
    <x v="0"/>
    <n v="63.53"/>
    <x v="1"/>
    <n v="0.35510204081632651"/>
  </r>
  <r>
    <x v="0"/>
    <s v="S005"/>
    <s v="P0013"/>
    <x v="3"/>
    <x v="1"/>
    <n v="317"/>
    <n v="238"/>
    <n v="95"/>
    <n v="256.57"/>
    <n v="82.18"/>
    <x v="3"/>
    <x v="2"/>
    <x v="0"/>
    <n v="87.09"/>
    <x v="1"/>
    <n v="0.75078864353312302"/>
  </r>
  <r>
    <x v="0"/>
    <s v="S005"/>
    <s v="P0014"/>
    <x v="2"/>
    <x v="1"/>
    <n v="325"/>
    <n v="171"/>
    <n v="43"/>
    <n v="188.55"/>
    <n v="42.62"/>
    <x v="0"/>
    <x v="2"/>
    <x v="1"/>
    <n v="42.01"/>
    <x v="0"/>
    <n v="0.52615384615384619"/>
  </r>
  <r>
    <x v="0"/>
    <s v="S005"/>
    <s v="P0015"/>
    <x v="3"/>
    <x v="2"/>
    <n v="411"/>
    <n v="250"/>
    <n v="119"/>
    <n v="260.79000000000002"/>
    <n v="11.54"/>
    <x v="1"/>
    <x v="2"/>
    <x v="0"/>
    <n v="11.27"/>
    <x v="3"/>
    <n v="0.6082725060827251"/>
  </r>
  <r>
    <x v="0"/>
    <s v="S005"/>
    <s v="P0016"/>
    <x v="4"/>
    <x v="1"/>
    <n v="71"/>
    <n v="11"/>
    <n v="32"/>
    <n v="1.85"/>
    <n v="16.3"/>
    <x v="3"/>
    <x v="1"/>
    <x v="0"/>
    <n v="17.98"/>
    <x v="2"/>
    <n v="0.15492957746478872"/>
  </r>
  <r>
    <x v="0"/>
    <s v="S005"/>
    <s v="P0017"/>
    <x v="2"/>
    <x v="3"/>
    <n v="388"/>
    <n v="371"/>
    <n v="98"/>
    <n v="390.04"/>
    <n v="98.31"/>
    <x v="4"/>
    <x v="1"/>
    <x v="1"/>
    <n v="102.42"/>
    <x v="3"/>
    <n v="0.95618556701030932"/>
  </r>
  <r>
    <x v="0"/>
    <s v="S005"/>
    <s v="P0018"/>
    <x v="3"/>
    <x v="2"/>
    <n v="161"/>
    <n v="107"/>
    <n v="66"/>
    <n v="103.97"/>
    <n v="48.96"/>
    <x v="1"/>
    <x v="3"/>
    <x v="1"/>
    <n v="50.03"/>
    <x v="3"/>
    <n v="0.6645962732919255"/>
  </r>
  <r>
    <x v="0"/>
    <s v="S005"/>
    <s v="P0019"/>
    <x v="0"/>
    <x v="1"/>
    <n v="235"/>
    <n v="106"/>
    <n v="124"/>
    <n v="119.33"/>
    <n v="88.22"/>
    <x v="3"/>
    <x v="0"/>
    <x v="0"/>
    <n v="91.16"/>
    <x v="3"/>
    <n v="0.45106382978723403"/>
  </r>
  <r>
    <x v="0"/>
    <s v="S005"/>
    <s v="P0020"/>
    <x v="2"/>
    <x v="1"/>
    <n v="108"/>
    <n v="101"/>
    <n v="52"/>
    <n v="105.92"/>
    <n v="11.04"/>
    <x v="1"/>
    <x v="3"/>
    <x v="1"/>
    <n v="9.14"/>
    <x v="0"/>
    <n v="0.93518518518518523"/>
  </r>
  <r>
    <x v="1"/>
    <s v="S001"/>
    <s v="P0001"/>
    <x v="0"/>
    <x v="2"/>
    <n v="116"/>
    <n v="81"/>
    <n v="104"/>
    <n v="92.94"/>
    <n v="27.95"/>
    <x v="1"/>
    <x v="2"/>
    <x v="0"/>
    <n v="30.89"/>
    <x v="3"/>
    <n v="0.69827586206896552"/>
  </r>
  <r>
    <x v="1"/>
    <s v="S001"/>
    <s v="P0002"/>
    <x v="4"/>
    <x v="2"/>
    <n v="416"/>
    <n v="163"/>
    <n v="79"/>
    <n v="171.6"/>
    <n v="19.78"/>
    <x v="4"/>
    <x v="2"/>
    <x v="0"/>
    <n v="18.760000000000002"/>
    <x v="3"/>
    <n v="0.39182692307692307"/>
  </r>
  <r>
    <x v="1"/>
    <s v="S001"/>
    <s v="P0003"/>
    <x v="4"/>
    <x v="1"/>
    <n v="488"/>
    <n v="464"/>
    <n v="163"/>
    <n v="463.12"/>
    <n v="70.989999999999995"/>
    <x v="1"/>
    <x v="3"/>
    <x v="0"/>
    <n v="72.930000000000007"/>
    <x v="1"/>
    <n v="0.95081967213114749"/>
  </r>
  <r>
    <x v="1"/>
    <s v="S001"/>
    <s v="P0004"/>
    <x v="0"/>
    <x v="3"/>
    <n v="248"/>
    <n v="116"/>
    <n v="107"/>
    <n v="133.91999999999999"/>
    <n v="49.56"/>
    <x v="3"/>
    <x v="3"/>
    <x v="0"/>
    <n v="50.46"/>
    <x v="1"/>
    <n v="0.46774193548387094"/>
  </r>
  <r>
    <x v="1"/>
    <s v="S001"/>
    <s v="P0005"/>
    <x v="2"/>
    <x v="3"/>
    <n v="238"/>
    <n v="200"/>
    <n v="40"/>
    <n v="204.3"/>
    <n v="23.76"/>
    <x v="4"/>
    <x v="1"/>
    <x v="1"/>
    <n v="19.190000000000001"/>
    <x v="1"/>
    <n v="0.84033613445378152"/>
  </r>
  <r>
    <x v="1"/>
    <s v="S001"/>
    <s v="P0006"/>
    <x v="3"/>
    <x v="3"/>
    <n v="471"/>
    <n v="58"/>
    <n v="32"/>
    <n v="51.57"/>
    <n v="47.56"/>
    <x v="2"/>
    <x v="3"/>
    <x v="1"/>
    <n v="46.82"/>
    <x v="1"/>
    <n v="0.12314225053078556"/>
  </r>
  <r>
    <x v="1"/>
    <s v="S001"/>
    <s v="P0007"/>
    <x v="2"/>
    <x v="0"/>
    <n v="178"/>
    <n v="56"/>
    <n v="149"/>
    <n v="60.3"/>
    <n v="17.100000000000001"/>
    <x v="3"/>
    <x v="3"/>
    <x v="1"/>
    <n v="17"/>
    <x v="0"/>
    <n v="0.3146067415730337"/>
  </r>
  <r>
    <x v="1"/>
    <s v="S001"/>
    <s v="P0008"/>
    <x v="4"/>
    <x v="3"/>
    <n v="92"/>
    <n v="74"/>
    <n v="121"/>
    <n v="67.040000000000006"/>
    <n v="58.89"/>
    <x v="3"/>
    <x v="2"/>
    <x v="0"/>
    <n v="61.56"/>
    <x v="0"/>
    <n v="0.80434782608695654"/>
  </r>
  <r>
    <x v="1"/>
    <s v="S001"/>
    <s v="P0009"/>
    <x v="1"/>
    <x v="1"/>
    <n v="99"/>
    <n v="54"/>
    <n v="182"/>
    <n v="70.599999999999994"/>
    <n v="99.76"/>
    <x v="0"/>
    <x v="2"/>
    <x v="0"/>
    <n v="95.61"/>
    <x v="3"/>
    <n v="0.54545454545454541"/>
  </r>
  <r>
    <x v="1"/>
    <s v="S001"/>
    <s v="P0010"/>
    <x v="4"/>
    <x v="0"/>
    <n v="171"/>
    <n v="39"/>
    <n v="163"/>
    <n v="47.8"/>
    <n v="11.44"/>
    <x v="3"/>
    <x v="1"/>
    <x v="0"/>
    <n v="12.71"/>
    <x v="1"/>
    <n v="0.22807017543859648"/>
  </r>
  <r>
    <x v="1"/>
    <s v="S001"/>
    <s v="P0011"/>
    <x v="3"/>
    <x v="3"/>
    <n v="215"/>
    <n v="12"/>
    <n v="173"/>
    <n v="16.920000000000002"/>
    <n v="53.84"/>
    <x v="2"/>
    <x v="2"/>
    <x v="1"/>
    <n v="53.79"/>
    <x v="3"/>
    <n v="5.5813953488372092E-2"/>
  </r>
  <r>
    <x v="1"/>
    <s v="S001"/>
    <s v="P0012"/>
    <x v="3"/>
    <x v="3"/>
    <n v="281"/>
    <n v="56"/>
    <n v="187"/>
    <n v="70.709999999999994"/>
    <n v="57.84"/>
    <x v="3"/>
    <x v="3"/>
    <x v="1"/>
    <n v="60.99"/>
    <x v="1"/>
    <n v="0.199288256227758"/>
  </r>
  <r>
    <x v="1"/>
    <s v="S001"/>
    <s v="P0013"/>
    <x v="1"/>
    <x v="0"/>
    <n v="455"/>
    <n v="31"/>
    <n v="124"/>
    <n v="44.46"/>
    <n v="35.51"/>
    <x v="4"/>
    <x v="2"/>
    <x v="1"/>
    <n v="31.06"/>
    <x v="0"/>
    <n v="6.8131868131868126E-2"/>
  </r>
  <r>
    <x v="1"/>
    <s v="S001"/>
    <s v="P0014"/>
    <x v="2"/>
    <x v="2"/>
    <n v="84"/>
    <n v="25"/>
    <n v="20"/>
    <n v="23.36"/>
    <n v="31.41"/>
    <x v="2"/>
    <x v="2"/>
    <x v="1"/>
    <n v="28.6"/>
    <x v="3"/>
    <n v="0.29761904761904762"/>
  </r>
  <r>
    <x v="1"/>
    <s v="S001"/>
    <s v="P0015"/>
    <x v="2"/>
    <x v="3"/>
    <n v="246"/>
    <n v="198"/>
    <n v="67"/>
    <n v="203.23"/>
    <n v="28.06"/>
    <x v="0"/>
    <x v="2"/>
    <x v="1"/>
    <n v="30.29"/>
    <x v="2"/>
    <n v="0.80487804878048785"/>
  </r>
  <r>
    <x v="1"/>
    <s v="S001"/>
    <s v="P0016"/>
    <x v="2"/>
    <x v="2"/>
    <n v="399"/>
    <n v="77"/>
    <n v="147"/>
    <n v="67.55"/>
    <n v="35.67"/>
    <x v="4"/>
    <x v="3"/>
    <x v="0"/>
    <n v="38.020000000000003"/>
    <x v="1"/>
    <n v="0.19298245614035087"/>
  </r>
  <r>
    <x v="1"/>
    <s v="S001"/>
    <s v="P0017"/>
    <x v="3"/>
    <x v="2"/>
    <n v="242"/>
    <n v="165"/>
    <n v="105"/>
    <n v="181.86"/>
    <n v="28.18"/>
    <x v="3"/>
    <x v="2"/>
    <x v="0"/>
    <n v="27.5"/>
    <x v="0"/>
    <n v="0.68181818181818177"/>
  </r>
  <r>
    <x v="1"/>
    <s v="S001"/>
    <s v="P0018"/>
    <x v="1"/>
    <x v="0"/>
    <n v="478"/>
    <n v="42"/>
    <n v="168"/>
    <n v="55.16"/>
    <n v="74.42"/>
    <x v="3"/>
    <x v="3"/>
    <x v="0"/>
    <n v="69.67"/>
    <x v="1"/>
    <n v="8.7866108786610872E-2"/>
  </r>
  <r>
    <x v="1"/>
    <s v="S001"/>
    <s v="P0019"/>
    <x v="3"/>
    <x v="1"/>
    <n v="156"/>
    <n v="8"/>
    <n v="67"/>
    <n v="24.41"/>
    <n v="91.95"/>
    <x v="3"/>
    <x v="2"/>
    <x v="1"/>
    <n v="87.43"/>
    <x v="3"/>
    <n v="5.128205128205128E-2"/>
  </r>
  <r>
    <x v="1"/>
    <s v="S001"/>
    <s v="P0020"/>
    <x v="2"/>
    <x v="0"/>
    <n v="221"/>
    <n v="174"/>
    <n v="168"/>
    <n v="187.49"/>
    <n v="97.88"/>
    <x v="2"/>
    <x v="3"/>
    <x v="0"/>
    <n v="99.5"/>
    <x v="0"/>
    <n v="0.78733031674208143"/>
  </r>
  <r>
    <x v="1"/>
    <s v="S002"/>
    <s v="P0001"/>
    <x v="2"/>
    <x v="2"/>
    <n v="402"/>
    <n v="343"/>
    <n v="141"/>
    <n v="339.04"/>
    <n v="66.569999999999993"/>
    <x v="0"/>
    <x v="0"/>
    <x v="1"/>
    <n v="63.92"/>
    <x v="1"/>
    <n v="0.85323383084577109"/>
  </r>
  <r>
    <x v="1"/>
    <s v="S002"/>
    <s v="P0002"/>
    <x v="3"/>
    <x v="2"/>
    <n v="132"/>
    <n v="71"/>
    <n v="60"/>
    <n v="82.44"/>
    <n v="90.36"/>
    <x v="3"/>
    <x v="0"/>
    <x v="0"/>
    <n v="86.73"/>
    <x v="2"/>
    <n v="0.53787878787878785"/>
  </r>
  <r>
    <x v="1"/>
    <s v="S002"/>
    <s v="P0003"/>
    <x v="0"/>
    <x v="2"/>
    <n v="218"/>
    <n v="157"/>
    <n v="31"/>
    <n v="153.41999999999999"/>
    <n v="92.24"/>
    <x v="3"/>
    <x v="3"/>
    <x v="1"/>
    <n v="89.57"/>
    <x v="0"/>
    <n v="0.72018348623853212"/>
  </r>
  <r>
    <x v="1"/>
    <s v="S002"/>
    <s v="P0004"/>
    <x v="0"/>
    <x v="1"/>
    <n v="131"/>
    <n v="88"/>
    <n v="109"/>
    <n v="100.61"/>
    <n v="68.709999999999994"/>
    <x v="2"/>
    <x v="3"/>
    <x v="0"/>
    <n v="69.34"/>
    <x v="3"/>
    <n v="0.6717557251908397"/>
  </r>
  <r>
    <x v="1"/>
    <s v="S002"/>
    <s v="P0005"/>
    <x v="0"/>
    <x v="0"/>
    <n v="93"/>
    <n v="64"/>
    <n v="128"/>
    <n v="57.53"/>
    <n v="87.22"/>
    <x v="3"/>
    <x v="2"/>
    <x v="1"/>
    <n v="90.59"/>
    <x v="3"/>
    <n v="0.68817204301075274"/>
  </r>
  <r>
    <x v="1"/>
    <s v="S002"/>
    <s v="P0006"/>
    <x v="0"/>
    <x v="3"/>
    <n v="344"/>
    <n v="273"/>
    <n v="154"/>
    <n v="273.10000000000002"/>
    <n v="79.38"/>
    <x v="2"/>
    <x v="0"/>
    <x v="0"/>
    <n v="77.28"/>
    <x v="0"/>
    <n v="0.79360465116279066"/>
  </r>
  <r>
    <x v="1"/>
    <s v="S002"/>
    <s v="P0007"/>
    <x v="0"/>
    <x v="0"/>
    <n v="340"/>
    <n v="247"/>
    <n v="148"/>
    <n v="264.18"/>
    <n v="17.41"/>
    <x v="4"/>
    <x v="3"/>
    <x v="0"/>
    <n v="13.57"/>
    <x v="1"/>
    <n v="0.72647058823529409"/>
  </r>
  <r>
    <x v="1"/>
    <s v="S002"/>
    <s v="P0008"/>
    <x v="2"/>
    <x v="0"/>
    <n v="241"/>
    <n v="42"/>
    <n v="187"/>
    <n v="46.32"/>
    <n v="14.8"/>
    <x v="4"/>
    <x v="1"/>
    <x v="1"/>
    <n v="13.94"/>
    <x v="3"/>
    <n v="0.17427385892116182"/>
  </r>
  <r>
    <x v="1"/>
    <s v="S002"/>
    <s v="P0009"/>
    <x v="2"/>
    <x v="0"/>
    <n v="296"/>
    <n v="197"/>
    <n v="157"/>
    <n v="195.61"/>
    <n v="30.5"/>
    <x v="2"/>
    <x v="1"/>
    <x v="0"/>
    <n v="28.86"/>
    <x v="3"/>
    <n v="0.66554054054054057"/>
  </r>
  <r>
    <x v="1"/>
    <s v="S002"/>
    <s v="P0010"/>
    <x v="0"/>
    <x v="2"/>
    <n v="472"/>
    <n v="374"/>
    <n v="65"/>
    <n v="387.41"/>
    <n v="27.84"/>
    <x v="4"/>
    <x v="2"/>
    <x v="1"/>
    <n v="32"/>
    <x v="3"/>
    <n v="0.7923728813559322"/>
  </r>
  <r>
    <x v="1"/>
    <s v="S002"/>
    <s v="P0011"/>
    <x v="3"/>
    <x v="3"/>
    <n v="308"/>
    <n v="154"/>
    <n v="22"/>
    <n v="169.13"/>
    <n v="88.62"/>
    <x v="2"/>
    <x v="2"/>
    <x v="0"/>
    <n v="86.3"/>
    <x v="2"/>
    <n v="0.5"/>
  </r>
  <r>
    <x v="1"/>
    <s v="S002"/>
    <s v="P0012"/>
    <x v="1"/>
    <x v="0"/>
    <n v="434"/>
    <n v="236"/>
    <n v="30"/>
    <n v="239.09"/>
    <n v="82.35"/>
    <x v="0"/>
    <x v="0"/>
    <x v="0"/>
    <n v="83.13"/>
    <x v="0"/>
    <n v="0.54377880184331795"/>
  </r>
  <r>
    <x v="1"/>
    <s v="S002"/>
    <s v="P0013"/>
    <x v="1"/>
    <x v="0"/>
    <n v="287"/>
    <n v="278"/>
    <n v="92"/>
    <n v="279.91000000000003"/>
    <n v="92.57"/>
    <x v="1"/>
    <x v="1"/>
    <x v="1"/>
    <n v="97.09"/>
    <x v="1"/>
    <n v="0.96864111498257843"/>
  </r>
  <r>
    <x v="1"/>
    <s v="S002"/>
    <s v="P0014"/>
    <x v="3"/>
    <x v="2"/>
    <n v="190"/>
    <n v="27"/>
    <n v="134"/>
    <n v="31.53"/>
    <n v="94.38"/>
    <x v="3"/>
    <x v="0"/>
    <x v="0"/>
    <n v="89.47"/>
    <x v="0"/>
    <n v="0.14210526315789473"/>
  </r>
  <r>
    <x v="1"/>
    <s v="S002"/>
    <s v="P0015"/>
    <x v="1"/>
    <x v="0"/>
    <n v="353"/>
    <n v="106"/>
    <n v="191"/>
    <n v="110.49"/>
    <n v="70.59"/>
    <x v="2"/>
    <x v="2"/>
    <x v="1"/>
    <n v="75.27"/>
    <x v="2"/>
    <n v="0.3002832861189802"/>
  </r>
  <r>
    <x v="1"/>
    <s v="S002"/>
    <s v="P0016"/>
    <x v="1"/>
    <x v="2"/>
    <n v="210"/>
    <n v="154"/>
    <n v="70"/>
    <n v="166.83"/>
    <n v="63.13"/>
    <x v="1"/>
    <x v="1"/>
    <x v="0"/>
    <n v="67.23"/>
    <x v="0"/>
    <n v="0.73333333333333328"/>
  </r>
  <r>
    <x v="1"/>
    <s v="S002"/>
    <s v="P0017"/>
    <x v="4"/>
    <x v="2"/>
    <n v="193"/>
    <n v="176"/>
    <n v="38"/>
    <n v="174.49"/>
    <n v="46.04"/>
    <x v="3"/>
    <x v="0"/>
    <x v="1"/>
    <n v="41.4"/>
    <x v="0"/>
    <n v="0.91191709844559588"/>
  </r>
  <r>
    <x v="1"/>
    <s v="S002"/>
    <s v="P0018"/>
    <x v="0"/>
    <x v="3"/>
    <n v="124"/>
    <n v="124"/>
    <n v="46"/>
    <n v="116.05"/>
    <n v="21.07"/>
    <x v="1"/>
    <x v="1"/>
    <x v="0"/>
    <n v="21.71"/>
    <x v="0"/>
    <n v="1"/>
  </r>
  <r>
    <x v="1"/>
    <s v="S002"/>
    <s v="P0019"/>
    <x v="1"/>
    <x v="3"/>
    <n v="492"/>
    <n v="479"/>
    <n v="132"/>
    <n v="469.74"/>
    <n v="79.11"/>
    <x v="2"/>
    <x v="2"/>
    <x v="0"/>
    <n v="80.06"/>
    <x v="2"/>
    <n v="0.97357723577235777"/>
  </r>
  <r>
    <x v="1"/>
    <s v="S002"/>
    <s v="P0020"/>
    <x v="4"/>
    <x v="1"/>
    <n v="222"/>
    <n v="78"/>
    <n v="42"/>
    <n v="76.55"/>
    <n v="64.989999999999995"/>
    <x v="2"/>
    <x v="1"/>
    <x v="1"/>
    <n v="65.400000000000006"/>
    <x v="1"/>
    <n v="0.35135135135135137"/>
  </r>
  <r>
    <x v="1"/>
    <s v="S003"/>
    <s v="P0001"/>
    <x v="1"/>
    <x v="2"/>
    <n v="277"/>
    <n v="114"/>
    <n v="40"/>
    <n v="132.41"/>
    <n v="73.48"/>
    <x v="1"/>
    <x v="2"/>
    <x v="0"/>
    <n v="72.55"/>
    <x v="0"/>
    <n v="0.41155234657039713"/>
  </r>
  <r>
    <x v="1"/>
    <s v="S003"/>
    <s v="P0002"/>
    <x v="0"/>
    <x v="3"/>
    <n v="175"/>
    <n v="2"/>
    <n v="140"/>
    <n v="-3.4"/>
    <n v="87.5"/>
    <x v="2"/>
    <x v="0"/>
    <x v="0"/>
    <n v="91.2"/>
    <x v="0"/>
    <n v="1.1428571428571429E-2"/>
  </r>
  <r>
    <x v="1"/>
    <s v="S003"/>
    <s v="P0003"/>
    <x v="1"/>
    <x v="3"/>
    <n v="157"/>
    <n v="7"/>
    <n v="187"/>
    <n v="22.8"/>
    <n v="88.68"/>
    <x v="0"/>
    <x v="2"/>
    <x v="1"/>
    <n v="87.38"/>
    <x v="0"/>
    <n v="4.4585987261146494E-2"/>
  </r>
  <r>
    <x v="1"/>
    <s v="S003"/>
    <s v="P0004"/>
    <x v="3"/>
    <x v="2"/>
    <n v="120"/>
    <n v="54"/>
    <n v="154"/>
    <n v="49.64"/>
    <n v="82.36"/>
    <x v="0"/>
    <x v="3"/>
    <x v="0"/>
    <n v="85.85"/>
    <x v="0"/>
    <n v="0.45"/>
  </r>
  <r>
    <x v="1"/>
    <s v="S003"/>
    <s v="P0005"/>
    <x v="3"/>
    <x v="3"/>
    <n v="375"/>
    <n v="282"/>
    <n v="61"/>
    <n v="297.42"/>
    <n v="38.56"/>
    <x v="3"/>
    <x v="2"/>
    <x v="0"/>
    <n v="36.57"/>
    <x v="2"/>
    <n v="0.752"/>
  </r>
  <r>
    <x v="1"/>
    <s v="S003"/>
    <s v="P0006"/>
    <x v="0"/>
    <x v="3"/>
    <n v="302"/>
    <n v="93"/>
    <n v="33"/>
    <n v="106.58"/>
    <n v="97.74"/>
    <x v="2"/>
    <x v="2"/>
    <x v="0"/>
    <n v="97.69"/>
    <x v="2"/>
    <n v="0.30794701986754969"/>
  </r>
  <r>
    <x v="1"/>
    <s v="S003"/>
    <s v="P0007"/>
    <x v="2"/>
    <x v="2"/>
    <n v="375"/>
    <n v="85"/>
    <n v="40"/>
    <n v="85.31"/>
    <n v="37.68"/>
    <x v="4"/>
    <x v="2"/>
    <x v="0"/>
    <n v="36.72"/>
    <x v="0"/>
    <n v="0.22666666666666666"/>
  </r>
  <r>
    <x v="1"/>
    <s v="S003"/>
    <s v="P0008"/>
    <x v="4"/>
    <x v="1"/>
    <n v="248"/>
    <n v="136"/>
    <n v="50"/>
    <n v="130.52000000000001"/>
    <n v="36.03"/>
    <x v="3"/>
    <x v="0"/>
    <x v="0"/>
    <n v="37.49"/>
    <x v="3"/>
    <n v="0.54838709677419351"/>
  </r>
  <r>
    <x v="1"/>
    <s v="S003"/>
    <s v="P0009"/>
    <x v="2"/>
    <x v="2"/>
    <n v="219"/>
    <n v="140"/>
    <n v="196"/>
    <n v="139.46"/>
    <n v="88.97"/>
    <x v="2"/>
    <x v="3"/>
    <x v="1"/>
    <n v="91.53"/>
    <x v="3"/>
    <n v="0.63926940639269403"/>
  </r>
  <r>
    <x v="1"/>
    <s v="S003"/>
    <s v="P0010"/>
    <x v="3"/>
    <x v="2"/>
    <n v="146"/>
    <n v="79"/>
    <n v="155"/>
    <n v="94.23"/>
    <n v="16.48"/>
    <x v="1"/>
    <x v="2"/>
    <x v="1"/>
    <n v="21.42"/>
    <x v="3"/>
    <n v="0.54109589041095896"/>
  </r>
  <r>
    <x v="1"/>
    <s v="S003"/>
    <s v="P0011"/>
    <x v="3"/>
    <x v="1"/>
    <n v="218"/>
    <n v="106"/>
    <n v="111"/>
    <n v="117.65"/>
    <n v="58.37"/>
    <x v="1"/>
    <x v="2"/>
    <x v="1"/>
    <n v="58.1"/>
    <x v="0"/>
    <n v="0.48623853211009177"/>
  </r>
  <r>
    <x v="1"/>
    <s v="S003"/>
    <s v="P0012"/>
    <x v="0"/>
    <x v="2"/>
    <n v="260"/>
    <n v="1"/>
    <n v="142"/>
    <n v="1.99"/>
    <n v="27.86"/>
    <x v="3"/>
    <x v="3"/>
    <x v="1"/>
    <n v="31.78"/>
    <x v="2"/>
    <n v="3.8461538461538464E-3"/>
  </r>
  <r>
    <x v="1"/>
    <s v="S003"/>
    <s v="P0013"/>
    <x v="2"/>
    <x v="2"/>
    <n v="414"/>
    <n v="203"/>
    <n v="53"/>
    <n v="206.35"/>
    <n v="39.14"/>
    <x v="3"/>
    <x v="0"/>
    <x v="1"/>
    <n v="35.299999999999997"/>
    <x v="0"/>
    <n v="0.49033816425120774"/>
  </r>
  <r>
    <x v="1"/>
    <s v="S003"/>
    <s v="P0014"/>
    <x v="1"/>
    <x v="0"/>
    <n v="420"/>
    <n v="368"/>
    <n v="71"/>
    <n v="384.47"/>
    <n v="66.510000000000005"/>
    <x v="2"/>
    <x v="2"/>
    <x v="0"/>
    <n v="70.84"/>
    <x v="3"/>
    <n v="0.87619047619047619"/>
  </r>
  <r>
    <x v="1"/>
    <s v="S003"/>
    <s v="P0015"/>
    <x v="2"/>
    <x v="3"/>
    <n v="435"/>
    <n v="286"/>
    <n v="159"/>
    <n v="283.25"/>
    <n v="89.65"/>
    <x v="0"/>
    <x v="3"/>
    <x v="0"/>
    <n v="84.99"/>
    <x v="2"/>
    <n v="0.65747126436781611"/>
  </r>
  <r>
    <x v="1"/>
    <s v="S003"/>
    <s v="P0016"/>
    <x v="4"/>
    <x v="1"/>
    <n v="230"/>
    <n v="69"/>
    <n v="173"/>
    <n v="70.77"/>
    <n v="86.7"/>
    <x v="0"/>
    <x v="0"/>
    <x v="0"/>
    <n v="91.05"/>
    <x v="3"/>
    <n v="0.3"/>
  </r>
  <r>
    <x v="1"/>
    <s v="S003"/>
    <s v="P0017"/>
    <x v="1"/>
    <x v="1"/>
    <n v="456"/>
    <n v="52"/>
    <n v="78"/>
    <n v="65.67"/>
    <n v="29.69"/>
    <x v="0"/>
    <x v="3"/>
    <x v="0"/>
    <n v="25.27"/>
    <x v="1"/>
    <n v="0.11403508771929824"/>
  </r>
  <r>
    <x v="1"/>
    <s v="S003"/>
    <s v="P0018"/>
    <x v="1"/>
    <x v="3"/>
    <n v="319"/>
    <n v="109"/>
    <n v="83"/>
    <n v="126.67"/>
    <n v="86.93"/>
    <x v="1"/>
    <x v="0"/>
    <x v="1"/>
    <n v="82.59"/>
    <x v="2"/>
    <n v="0.34169278996865204"/>
  </r>
  <r>
    <x v="1"/>
    <s v="S003"/>
    <s v="P0019"/>
    <x v="3"/>
    <x v="0"/>
    <n v="59"/>
    <n v="50"/>
    <n v="135"/>
    <n v="44.37"/>
    <n v="59.33"/>
    <x v="1"/>
    <x v="2"/>
    <x v="0"/>
    <n v="54.98"/>
    <x v="3"/>
    <n v="0.84745762711864403"/>
  </r>
  <r>
    <x v="1"/>
    <s v="S003"/>
    <s v="P0020"/>
    <x v="2"/>
    <x v="3"/>
    <n v="155"/>
    <n v="0"/>
    <n v="92"/>
    <n v="9.42"/>
    <n v="57.07"/>
    <x v="1"/>
    <x v="0"/>
    <x v="1"/>
    <n v="53.34"/>
    <x v="1"/>
    <n v="0"/>
  </r>
  <r>
    <x v="1"/>
    <s v="S004"/>
    <s v="P0001"/>
    <x v="2"/>
    <x v="0"/>
    <n v="144"/>
    <n v="22"/>
    <n v="45"/>
    <n v="39.119999999999997"/>
    <n v="74.16"/>
    <x v="4"/>
    <x v="0"/>
    <x v="0"/>
    <n v="69.739999999999995"/>
    <x v="0"/>
    <n v="0.15277777777777779"/>
  </r>
  <r>
    <x v="1"/>
    <s v="S004"/>
    <s v="P0002"/>
    <x v="2"/>
    <x v="3"/>
    <n v="283"/>
    <n v="45"/>
    <n v="156"/>
    <n v="46.65"/>
    <n v="59.38"/>
    <x v="2"/>
    <x v="1"/>
    <x v="1"/>
    <n v="62.4"/>
    <x v="3"/>
    <n v="0.15901060070671377"/>
  </r>
  <r>
    <x v="1"/>
    <s v="S004"/>
    <s v="P0003"/>
    <x v="4"/>
    <x v="3"/>
    <n v="347"/>
    <n v="89"/>
    <n v="122"/>
    <n v="87.77"/>
    <n v="48.18"/>
    <x v="2"/>
    <x v="1"/>
    <x v="1"/>
    <n v="49.64"/>
    <x v="3"/>
    <n v="0.25648414985590778"/>
  </r>
  <r>
    <x v="1"/>
    <s v="S004"/>
    <s v="P0004"/>
    <x v="0"/>
    <x v="3"/>
    <n v="410"/>
    <n v="209"/>
    <n v="128"/>
    <n v="224.66"/>
    <n v="94.75"/>
    <x v="0"/>
    <x v="3"/>
    <x v="0"/>
    <n v="90.1"/>
    <x v="0"/>
    <n v="0.50975609756097562"/>
  </r>
  <r>
    <x v="1"/>
    <s v="S004"/>
    <s v="P0005"/>
    <x v="1"/>
    <x v="2"/>
    <n v="99"/>
    <n v="4"/>
    <n v="76"/>
    <n v="14.91"/>
    <n v="60.89"/>
    <x v="3"/>
    <x v="1"/>
    <x v="0"/>
    <n v="59.42"/>
    <x v="0"/>
    <n v="4.0404040404040407E-2"/>
  </r>
  <r>
    <x v="1"/>
    <s v="S004"/>
    <s v="P0006"/>
    <x v="1"/>
    <x v="3"/>
    <n v="97"/>
    <n v="47"/>
    <n v="138"/>
    <n v="52.02"/>
    <n v="14.71"/>
    <x v="3"/>
    <x v="2"/>
    <x v="0"/>
    <n v="16.850000000000001"/>
    <x v="0"/>
    <n v="0.4845360824742268"/>
  </r>
  <r>
    <x v="1"/>
    <s v="S004"/>
    <s v="P0007"/>
    <x v="3"/>
    <x v="2"/>
    <n v="339"/>
    <n v="115"/>
    <n v="95"/>
    <n v="124.22"/>
    <n v="33.090000000000003"/>
    <x v="1"/>
    <x v="0"/>
    <x v="0"/>
    <n v="28.55"/>
    <x v="3"/>
    <n v="0.33923303834808261"/>
  </r>
  <r>
    <x v="1"/>
    <s v="S004"/>
    <s v="P0008"/>
    <x v="1"/>
    <x v="1"/>
    <n v="144"/>
    <n v="27"/>
    <n v="119"/>
    <n v="21.73"/>
    <n v="98.75"/>
    <x v="4"/>
    <x v="3"/>
    <x v="0"/>
    <n v="102.7"/>
    <x v="1"/>
    <n v="0.1875"/>
  </r>
  <r>
    <x v="1"/>
    <s v="S004"/>
    <s v="P0009"/>
    <x v="3"/>
    <x v="1"/>
    <n v="110"/>
    <n v="90"/>
    <n v="28"/>
    <n v="103.6"/>
    <n v="12.4"/>
    <x v="0"/>
    <x v="3"/>
    <x v="0"/>
    <n v="8.56"/>
    <x v="0"/>
    <n v="0.81818181818181823"/>
  </r>
  <r>
    <x v="1"/>
    <s v="S004"/>
    <s v="P0010"/>
    <x v="0"/>
    <x v="1"/>
    <n v="348"/>
    <n v="206"/>
    <n v="67"/>
    <n v="214.99"/>
    <n v="92.01"/>
    <x v="4"/>
    <x v="3"/>
    <x v="1"/>
    <n v="87.81"/>
    <x v="0"/>
    <n v="0.59195402298850575"/>
  </r>
  <r>
    <x v="1"/>
    <s v="S004"/>
    <s v="P0011"/>
    <x v="1"/>
    <x v="3"/>
    <n v="458"/>
    <n v="328"/>
    <n v="144"/>
    <n v="339.54"/>
    <n v="92.12"/>
    <x v="0"/>
    <x v="1"/>
    <x v="1"/>
    <n v="87.37"/>
    <x v="3"/>
    <n v="0.71615720524017468"/>
  </r>
  <r>
    <x v="1"/>
    <s v="S004"/>
    <s v="P0012"/>
    <x v="0"/>
    <x v="1"/>
    <n v="403"/>
    <n v="155"/>
    <n v="24"/>
    <n v="145.99"/>
    <n v="37.39"/>
    <x v="0"/>
    <x v="1"/>
    <x v="0"/>
    <n v="38.71"/>
    <x v="3"/>
    <n v="0.38461538461538464"/>
  </r>
  <r>
    <x v="1"/>
    <s v="S004"/>
    <s v="P0013"/>
    <x v="4"/>
    <x v="2"/>
    <n v="198"/>
    <n v="184"/>
    <n v="161"/>
    <n v="191.55"/>
    <n v="85.35"/>
    <x v="1"/>
    <x v="0"/>
    <x v="1"/>
    <n v="80.790000000000006"/>
    <x v="3"/>
    <n v="0.92929292929292928"/>
  </r>
  <r>
    <x v="1"/>
    <s v="S004"/>
    <s v="P0014"/>
    <x v="2"/>
    <x v="3"/>
    <n v="472"/>
    <n v="16"/>
    <n v="166"/>
    <n v="28.75"/>
    <n v="82.64"/>
    <x v="2"/>
    <x v="2"/>
    <x v="0"/>
    <n v="78.349999999999994"/>
    <x v="0"/>
    <n v="3.3898305084745763E-2"/>
  </r>
  <r>
    <x v="1"/>
    <s v="S004"/>
    <s v="P0015"/>
    <x v="1"/>
    <x v="0"/>
    <n v="178"/>
    <n v="90"/>
    <n v="79"/>
    <n v="98.56"/>
    <n v="92.19"/>
    <x v="1"/>
    <x v="3"/>
    <x v="1"/>
    <n v="97.07"/>
    <x v="1"/>
    <n v="0.5056179775280899"/>
  </r>
  <r>
    <x v="1"/>
    <s v="S004"/>
    <s v="P0016"/>
    <x v="4"/>
    <x v="2"/>
    <n v="215"/>
    <n v="178"/>
    <n v="111"/>
    <n v="180.76"/>
    <n v="61.41"/>
    <x v="2"/>
    <x v="1"/>
    <x v="0"/>
    <n v="61.32"/>
    <x v="3"/>
    <n v="0.82790697674418601"/>
  </r>
  <r>
    <x v="1"/>
    <s v="S004"/>
    <s v="P0017"/>
    <x v="2"/>
    <x v="1"/>
    <n v="477"/>
    <n v="256"/>
    <n v="150"/>
    <n v="254.89"/>
    <n v="96.47"/>
    <x v="0"/>
    <x v="2"/>
    <x v="0"/>
    <n v="93.35"/>
    <x v="3"/>
    <n v="0.5366876310272537"/>
  </r>
  <r>
    <x v="1"/>
    <s v="S004"/>
    <s v="P0018"/>
    <x v="3"/>
    <x v="1"/>
    <n v="198"/>
    <n v="27"/>
    <n v="62"/>
    <n v="25.51"/>
    <n v="89.33"/>
    <x v="2"/>
    <x v="1"/>
    <x v="0"/>
    <n v="89.63"/>
    <x v="3"/>
    <n v="0.13636363636363635"/>
  </r>
  <r>
    <x v="1"/>
    <s v="S004"/>
    <s v="P0019"/>
    <x v="0"/>
    <x v="0"/>
    <n v="110"/>
    <n v="67"/>
    <n v="83"/>
    <n v="79.41"/>
    <n v="59.49"/>
    <x v="0"/>
    <x v="0"/>
    <x v="1"/>
    <n v="57.55"/>
    <x v="3"/>
    <n v="0.60909090909090913"/>
  </r>
  <r>
    <x v="1"/>
    <s v="S004"/>
    <s v="P0020"/>
    <x v="2"/>
    <x v="0"/>
    <n v="254"/>
    <n v="84"/>
    <n v="112"/>
    <n v="77.150000000000006"/>
    <n v="73.05"/>
    <x v="4"/>
    <x v="1"/>
    <x v="1"/>
    <n v="74.55"/>
    <x v="0"/>
    <n v="0.33070866141732286"/>
  </r>
  <r>
    <x v="1"/>
    <s v="S005"/>
    <s v="P0001"/>
    <x v="0"/>
    <x v="3"/>
    <n v="223"/>
    <n v="67"/>
    <n v="53"/>
    <n v="74.8"/>
    <n v="67.489999999999995"/>
    <x v="3"/>
    <x v="1"/>
    <x v="0"/>
    <n v="65.239999999999995"/>
    <x v="2"/>
    <n v="0.30044843049327352"/>
  </r>
  <r>
    <x v="1"/>
    <s v="S005"/>
    <s v="P0002"/>
    <x v="3"/>
    <x v="2"/>
    <n v="100"/>
    <n v="15"/>
    <n v="114"/>
    <n v="28.97"/>
    <n v="66.05"/>
    <x v="1"/>
    <x v="1"/>
    <x v="1"/>
    <n v="65.16"/>
    <x v="0"/>
    <n v="0.15"/>
  </r>
  <r>
    <x v="1"/>
    <s v="S005"/>
    <s v="P0003"/>
    <x v="1"/>
    <x v="2"/>
    <n v="397"/>
    <n v="333"/>
    <n v="35"/>
    <n v="336.02"/>
    <n v="80.88"/>
    <x v="0"/>
    <x v="0"/>
    <x v="1"/>
    <n v="84.97"/>
    <x v="2"/>
    <n v="0.83879093198992438"/>
  </r>
  <r>
    <x v="1"/>
    <s v="S005"/>
    <s v="P0004"/>
    <x v="0"/>
    <x v="0"/>
    <n v="442"/>
    <n v="56"/>
    <n v="38"/>
    <n v="54.08"/>
    <n v="60.5"/>
    <x v="1"/>
    <x v="2"/>
    <x v="1"/>
    <n v="64.88"/>
    <x v="3"/>
    <n v="0.12669683257918551"/>
  </r>
  <r>
    <x v="1"/>
    <s v="S005"/>
    <s v="P0005"/>
    <x v="3"/>
    <x v="2"/>
    <n v="411"/>
    <n v="165"/>
    <n v="194"/>
    <n v="172.41"/>
    <n v="71.72"/>
    <x v="0"/>
    <x v="0"/>
    <x v="0"/>
    <n v="75.17"/>
    <x v="0"/>
    <n v="0.40145985401459855"/>
  </r>
  <r>
    <x v="1"/>
    <s v="S005"/>
    <s v="P0006"/>
    <x v="4"/>
    <x v="0"/>
    <n v="76"/>
    <n v="54"/>
    <n v="175"/>
    <n v="49.32"/>
    <n v="69.209999999999994"/>
    <x v="4"/>
    <x v="0"/>
    <x v="1"/>
    <n v="71.17"/>
    <x v="1"/>
    <n v="0.71052631578947367"/>
  </r>
  <r>
    <x v="1"/>
    <s v="S005"/>
    <s v="P0007"/>
    <x v="4"/>
    <x v="3"/>
    <n v="257"/>
    <n v="93"/>
    <n v="148"/>
    <n v="84.69"/>
    <n v="70.69"/>
    <x v="0"/>
    <x v="3"/>
    <x v="0"/>
    <n v="71.37"/>
    <x v="2"/>
    <n v="0.36186770428015563"/>
  </r>
  <r>
    <x v="1"/>
    <s v="S005"/>
    <s v="P0008"/>
    <x v="3"/>
    <x v="3"/>
    <n v="353"/>
    <n v="250"/>
    <n v="57"/>
    <n v="254.75"/>
    <n v="63.54"/>
    <x v="4"/>
    <x v="2"/>
    <x v="0"/>
    <n v="61.05"/>
    <x v="1"/>
    <n v="0.70821529745042489"/>
  </r>
  <r>
    <x v="1"/>
    <s v="S005"/>
    <s v="P0009"/>
    <x v="2"/>
    <x v="2"/>
    <n v="119"/>
    <n v="90"/>
    <n v="76"/>
    <n v="99.63"/>
    <n v="78.08"/>
    <x v="1"/>
    <x v="1"/>
    <x v="0"/>
    <n v="73.69"/>
    <x v="2"/>
    <n v="0.75630252100840334"/>
  </r>
  <r>
    <x v="1"/>
    <s v="S005"/>
    <s v="P0010"/>
    <x v="3"/>
    <x v="2"/>
    <n v="403"/>
    <n v="83"/>
    <n v="77"/>
    <n v="84.32"/>
    <n v="43.09"/>
    <x v="1"/>
    <x v="1"/>
    <x v="1"/>
    <n v="47.02"/>
    <x v="3"/>
    <n v="0.20595533498759305"/>
  </r>
  <r>
    <x v="1"/>
    <s v="S005"/>
    <s v="P0011"/>
    <x v="2"/>
    <x v="3"/>
    <n v="60"/>
    <n v="16"/>
    <n v="149"/>
    <n v="23.98"/>
    <n v="25.67"/>
    <x v="3"/>
    <x v="1"/>
    <x v="1"/>
    <n v="27.78"/>
    <x v="2"/>
    <n v="0.26666666666666666"/>
  </r>
  <r>
    <x v="1"/>
    <s v="S005"/>
    <s v="P0012"/>
    <x v="1"/>
    <x v="2"/>
    <n v="182"/>
    <n v="87"/>
    <n v="121"/>
    <n v="83.13"/>
    <n v="38.590000000000003"/>
    <x v="0"/>
    <x v="0"/>
    <x v="0"/>
    <n v="33.869999999999997"/>
    <x v="3"/>
    <n v="0.47802197802197804"/>
  </r>
  <r>
    <x v="1"/>
    <s v="S005"/>
    <s v="P0013"/>
    <x v="3"/>
    <x v="3"/>
    <n v="455"/>
    <n v="241"/>
    <n v="136"/>
    <n v="235.03"/>
    <n v="57.99"/>
    <x v="3"/>
    <x v="1"/>
    <x v="0"/>
    <n v="55.4"/>
    <x v="3"/>
    <n v="0.52967032967032968"/>
  </r>
  <r>
    <x v="1"/>
    <s v="S005"/>
    <s v="P0014"/>
    <x v="1"/>
    <x v="1"/>
    <n v="437"/>
    <n v="286"/>
    <n v="116"/>
    <n v="282.52"/>
    <n v="14.65"/>
    <x v="0"/>
    <x v="3"/>
    <x v="1"/>
    <n v="13.12"/>
    <x v="2"/>
    <n v="0.65446224256292906"/>
  </r>
  <r>
    <x v="1"/>
    <s v="S005"/>
    <s v="P0015"/>
    <x v="4"/>
    <x v="2"/>
    <n v="289"/>
    <n v="60"/>
    <n v="83"/>
    <n v="52.77"/>
    <n v="63.26"/>
    <x v="2"/>
    <x v="0"/>
    <x v="1"/>
    <n v="61.02"/>
    <x v="0"/>
    <n v="0.20761245674740483"/>
  </r>
  <r>
    <x v="1"/>
    <s v="S005"/>
    <s v="P0016"/>
    <x v="0"/>
    <x v="3"/>
    <n v="487"/>
    <n v="437"/>
    <n v="106"/>
    <n v="432.86"/>
    <n v="43.64"/>
    <x v="4"/>
    <x v="2"/>
    <x v="1"/>
    <n v="39.130000000000003"/>
    <x v="0"/>
    <n v="0.89733059548254623"/>
  </r>
  <r>
    <x v="1"/>
    <s v="S005"/>
    <s v="P0017"/>
    <x v="1"/>
    <x v="0"/>
    <n v="418"/>
    <n v="377"/>
    <n v="76"/>
    <n v="383.26"/>
    <n v="84.85"/>
    <x v="0"/>
    <x v="1"/>
    <x v="1"/>
    <n v="84.29"/>
    <x v="1"/>
    <n v="0.90191387559808611"/>
  </r>
  <r>
    <x v="1"/>
    <s v="S005"/>
    <s v="P0018"/>
    <x v="4"/>
    <x v="2"/>
    <n v="89"/>
    <n v="83"/>
    <n v="113"/>
    <n v="78.67"/>
    <n v="47.05"/>
    <x v="4"/>
    <x v="0"/>
    <x v="1"/>
    <n v="47.89"/>
    <x v="3"/>
    <n v="0.93258426966292129"/>
  </r>
  <r>
    <x v="1"/>
    <s v="S005"/>
    <s v="P0019"/>
    <x v="4"/>
    <x v="2"/>
    <n v="421"/>
    <n v="203"/>
    <n v="152"/>
    <n v="220.23"/>
    <n v="76.83"/>
    <x v="0"/>
    <x v="3"/>
    <x v="0"/>
    <n v="75.86"/>
    <x v="3"/>
    <n v="0.48218527315914489"/>
  </r>
  <r>
    <x v="1"/>
    <s v="S005"/>
    <s v="P0020"/>
    <x v="4"/>
    <x v="1"/>
    <n v="211"/>
    <n v="183"/>
    <n v="189"/>
    <n v="190.11"/>
    <n v="93.95"/>
    <x v="1"/>
    <x v="1"/>
    <x v="1"/>
    <n v="98.89"/>
    <x v="3"/>
    <n v="0.86729857819905209"/>
  </r>
  <r>
    <x v="2"/>
    <s v="S001"/>
    <s v="P0001"/>
    <x v="2"/>
    <x v="2"/>
    <n v="154"/>
    <n v="5"/>
    <n v="189"/>
    <n v="5.36"/>
    <n v="62.7"/>
    <x v="0"/>
    <x v="0"/>
    <x v="0"/>
    <n v="58.22"/>
    <x v="2"/>
    <n v="3.2467532467532464E-2"/>
  </r>
  <r>
    <x v="2"/>
    <s v="S001"/>
    <s v="P0002"/>
    <x v="4"/>
    <x v="3"/>
    <n v="282"/>
    <n v="199"/>
    <n v="70"/>
    <n v="193.26"/>
    <n v="54.02"/>
    <x v="2"/>
    <x v="2"/>
    <x v="0"/>
    <n v="52.91"/>
    <x v="3"/>
    <n v="0.70567375886524819"/>
  </r>
  <r>
    <x v="2"/>
    <s v="S001"/>
    <s v="P0003"/>
    <x v="1"/>
    <x v="1"/>
    <n v="183"/>
    <n v="176"/>
    <n v="124"/>
    <n v="168.28"/>
    <n v="26.03"/>
    <x v="1"/>
    <x v="0"/>
    <x v="0"/>
    <n v="29.38"/>
    <x v="2"/>
    <n v="0.96174863387978138"/>
  </r>
  <r>
    <x v="2"/>
    <s v="S001"/>
    <s v="P0004"/>
    <x v="2"/>
    <x v="3"/>
    <n v="239"/>
    <n v="214"/>
    <n v="51"/>
    <n v="228.51"/>
    <n v="10.19"/>
    <x v="2"/>
    <x v="2"/>
    <x v="1"/>
    <n v="7.82"/>
    <x v="2"/>
    <n v="0.89539748953974896"/>
  </r>
  <r>
    <x v="2"/>
    <s v="S001"/>
    <s v="P0005"/>
    <x v="0"/>
    <x v="2"/>
    <n v="368"/>
    <n v="165"/>
    <n v="56"/>
    <n v="170.76"/>
    <n v="95.54"/>
    <x v="2"/>
    <x v="1"/>
    <x v="0"/>
    <n v="91.29"/>
    <x v="3"/>
    <n v="0.4483695652173913"/>
  </r>
  <r>
    <x v="2"/>
    <s v="S001"/>
    <s v="P0006"/>
    <x v="3"/>
    <x v="1"/>
    <n v="57"/>
    <n v="9"/>
    <n v="40"/>
    <n v="13.6"/>
    <n v="57.65"/>
    <x v="3"/>
    <x v="1"/>
    <x v="0"/>
    <n v="58.01"/>
    <x v="1"/>
    <n v="0.15789473684210525"/>
  </r>
  <r>
    <x v="2"/>
    <s v="S001"/>
    <s v="P0007"/>
    <x v="4"/>
    <x v="1"/>
    <n v="460"/>
    <n v="140"/>
    <n v="70"/>
    <n v="143.69999999999999"/>
    <n v="87.85"/>
    <x v="0"/>
    <x v="1"/>
    <x v="0"/>
    <n v="91.9"/>
    <x v="2"/>
    <n v="0.30434782608695654"/>
  </r>
  <r>
    <x v="2"/>
    <s v="S001"/>
    <s v="P0008"/>
    <x v="0"/>
    <x v="2"/>
    <n v="214"/>
    <n v="177"/>
    <n v="150"/>
    <n v="178"/>
    <n v="53.94"/>
    <x v="3"/>
    <x v="3"/>
    <x v="0"/>
    <n v="51.47"/>
    <x v="0"/>
    <n v="0.82710280373831779"/>
  </r>
  <r>
    <x v="2"/>
    <s v="S001"/>
    <s v="P0009"/>
    <x v="0"/>
    <x v="1"/>
    <n v="407"/>
    <n v="217"/>
    <n v="55"/>
    <n v="217.69"/>
    <n v="61.42"/>
    <x v="0"/>
    <x v="1"/>
    <x v="0"/>
    <n v="65.86"/>
    <x v="2"/>
    <n v="0.53316953316953319"/>
  </r>
  <r>
    <x v="2"/>
    <s v="S001"/>
    <s v="P0010"/>
    <x v="2"/>
    <x v="2"/>
    <n v="51"/>
    <n v="47"/>
    <n v="155"/>
    <n v="38.08"/>
    <n v="99.14"/>
    <x v="1"/>
    <x v="3"/>
    <x v="0"/>
    <n v="102.66"/>
    <x v="0"/>
    <n v="0.92156862745098034"/>
  </r>
  <r>
    <x v="2"/>
    <s v="S001"/>
    <s v="P0011"/>
    <x v="0"/>
    <x v="3"/>
    <n v="252"/>
    <n v="3"/>
    <n v="98"/>
    <n v="5.18"/>
    <n v="60.52"/>
    <x v="2"/>
    <x v="2"/>
    <x v="0"/>
    <n v="62.72"/>
    <x v="0"/>
    <n v="1.1904761904761904E-2"/>
  </r>
  <r>
    <x v="2"/>
    <s v="S001"/>
    <s v="P0012"/>
    <x v="4"/>
    <x v="3"/>
    <n v="72"/>
    <n v="2"/>
    <n v="62"/>
    <n v="9.81"/>
    <n v="86.93"/>
    <x v="4"/>
    <x v="2"/>
    <x v="0"/>
    <n v="83.11"/>
    <x v="1"/>
    <n v="2.7777777777777776E-2"/>
  </r>
  <r>
    <x v="2"/>
    <s v="S001"/>
    <s v="P0013"/>
    <x v="4"/>
    <x v="1"/>
    <n v="194"/>
    <n v="18"/>
    <n v="120"/>
    <n v="20.05"/>
    <n v="83.11"/>
    <x v="1"/>
    <x v="3"/>
    <x v="1"/>
    <n v="85.16"/>
    <x v="1"/>
    <n v="9.2783505154639179E-2"/>
  </r>
  <r>
    <x v="2"/>
    <s v="S001"/>
    <s v="P0014"/>
    <x v="1"/>
    <x v="1"/>
    <n v="302"/>
    <n v="242"/>
    <n v="145"/>
    <n v="255.54"/>
    <n v="32.28"/>
    <x v="1"/>
    <x v="0"/>
    <x v="1"/>
    <n v="30.1"/>
    <x v="2"/>
    <n v="0.80132450331125826"/>
  </r>
  <r>
    <x v="2"/>
    <s v="S001"/>
    <s v="P0015"/>
    <x v="1"/>
    <x v="0"/>
    <n v="330"/>
    <n v="228"/>
    <n v="157"/>
    <n v="246.91"/>
    <n v="52.17"/>
    <x v="1"/>
    <x v="1"/>
    <x v="1"/>
    <n v="52.43"/>
    <x v="1"/>
    <n v="0.69090909090909092"/>
  </r>
  <r>
    <x v="2"/>
    <s v="S001"/>
    <s v="P0016"/>
    <x v="4"/>
    <x v="3"/>
    <n v="148"/>
    <n v="31"/>
    <n v="160"/>
    <n v="35.11"/>
    <n v="93.61"/>
    <x v="4"/>
    <x v="3"/>
    <x v="1"/>
    <n v="94.15"/>
    <x v="3"/>
    <n v="0.20945945945945946"/>
  </r>
  <r>
    <x v="2"/>
    <s v="S001"/>
    <s v="P0017"/>
    <x v="4"/>
    <x v="0"/>
    <n v="315"/>
    <n v="16"/>
    <n v="197"/>
    <n v="33.51"/>
    <n v="98.25"/>
    <x v="3"/>
    <x v="1"/>
    <x v="0"/>
    <n v="100.34"/>
    <x v="3"/>
    <n v="5.0793650793650794E-2"/>
  </r>
  <r>
    <x v="2"/>
    <s v="S001"/>
    <s v="P0018"/>
    <x v="3"/>
    <x v="3"/>
    <n v="97"/>
    <n v="20"/>
    <n v="147"/>
    <n v="37.26"/>
    <n v="78.53"/>
    <x v="3"/>
    <x v="0"/>
    <x v="0"/>
    <n v="75.48"/>
    <x v="0"/>
    <n v="0.20618556701030927"/>
  </r>
  <r>
    <x v="2"/>
    <s v="S001"/>
    <s v="P0019"/>
    <x v="3"/>
    <x v="1"/>
    <n v="240"/>
    <n v="193"/>
    <n v="171"/>
    <n v="203.45"/>
    <n v="56.91"/>
    <x v="2"/>
    <x v="1"/>
    <x v="1"/>
    <n v="54.2"/>
    <x v="3"/>
    <n v="0.8041666666666667"/>
  </r>
  <r>
    <x v="2"/>
    <s v="S001"/>
    <s v="P0020"/>
    <x v="1"/>
    <x v="0"/>
    <n v="178"/>
    <n v="118"/>
    <n v="162"/>
    <n v="110.02"/>
    <n v="35.32"/>
    <x v="0"/>
    <x v="2"/>
    <x v="1"/>
    <n v="37.56"/>
    <x v="1"/>
    <n v="0.6629213483146067"/>
  </r>
  <r>
    <x v="2"/>
    <s v="S002"/>
    <s v="P0001"/>
    <x v="1"/>
    <x v="0"/>
    <n v="405"/>
    <n v="96"/>
    <n v="171"/>
    <n v="100.82"/>
    <n v="48.08"/>
    <x v="2"/>
    <x v="0"/>
    <x v="1"/>
    <n v="49.4"/>
    <x v="0"/>
    <n v="0.23703703703703705"/>
  </r>
  <r>
    <x v="2"/>
    <s v="S002"/>
    <s v="P0002"/>
    <x v="2"/>
    <x v="0"/>
    <n v="200"/>
    <n v="48"/>
    <n v="47"/>
    <n v="55.45"/>
    <n v="46.95"/>
    <x v="4"/>
    <x v="3"/>
    <x v="1"/>
    <n v="43.48"/>
    <x v="1"/>
    <n v="0.24"/>
  </r>
  <r>
    <x v="2"/>
    <s v="S002"/>
    <s v="P0003"/>
    <x v="3"/>
    <x v="2"/>
    <n v="327"/>
    <n v="130"/>
    <n v="166"/>
    <n v="127.03"/>
    <n v="94.45"/>
    <x v="0"/>
    <x v="2"/>
    <x v="1"/>
    <n v="99.26"/>
    <x v="2"/>
    <n v="0.39755351681957185"/>
  </r>
  <r>
    <x v="2"/>
    <s v="S002"/>
    <s v="P0004"/>
    <x v="0"/>
    <x v="0"/>
    <n v="409"/>
    <n v="11"/>
    <n v="48"/>
    <n v="8.25"/>
    <n v="27.28"/>
    <x v="1"/>
    <x v="3"/>
    <x v="1"/>
    <n v="28.61"/>
    <x v="0"/>
    <n v="2.6894865525672371E-2"/>
  </r>
  <r>
    <x v="2"/>
    <s v="S002"/>
    <s v="P0005"/>
    <x v="0"/>
    <x v="2"/>
    <n v="327"/>
    <n v="313"/>
    <n v="194"/>
    <n v="326.56"/>
    <n v="29.74"/>
    <x v="2"/>
    <x v="3"/>
    <x v="1"/>
    <n v="31.67"/>
    <x v="2"/>
    <n v="0.95718654434250761"/>
  </r>
  <r>
    <x v="2"/>
    <s v="S002"/>
    <s v="P0006"/>
    <x v="3"/>
    <x v="0"/>
    <n v="388"/>
    <n v="352"/>
    <n v="199"/>
    <n v="365.82"/>
    <n v="27.64"/>
    <x v="3"/>
    <x v="3"/>
    <x v="0"/>
    <n v="27.19"/>
    <x v="1"/>
    <n v="0.90721649484536082"/>
  </r>
  <r>
    <x v="2"/>
    <s v="S002"/>
    <s v="P0007"/>
    <x v="1"/>
    <x v="1"/>
    <n v="483"/>
    <n v="265"/>
    <n v="108"/>
    <n v="277.23"/>
    <n v="60.54"/>
    <x v="3"/>
    <x v="0"/>
    <x v="0"/>
    <n v="55.83"/>
    <x v="0"/>
    <n v="0.54865424430641818"/>
  </r>
  <r>
    <x v="2"/>
    <s v="S002"/>
    <s v="P0008"/>
    <x v="3"/>
    <x v="1"/>
    <n v="70"/>
    <n v="11"/>
    <n v="137"/>
    <n v="23.62"/>
    <n v="58.55"/>
    <x v="1"/>
    <x v="2"/>
    <x v="0"/>
    <n v="63.45"/>
    <x v="1"/>
    <n v="0.15714285714285714"/>
  </r>
  <r>
    <x v="2"/>
    <s v="S002"/>
    <s v="P0009"/>
    <x v="0"/>
    <x v="1"/>
    <n v="288"/>
    <n v="191"/>
    <n v="29"/>
    <n v="207.27"/>
    <n v="58.59"/>
    <x v="2"/>
    <x v="2"/>
    <x v="0"/>
    <n v="60.98"/>
    <x v="1"/>
    <n v="0.66319444444444442"/>
  </r>
  <r>
    <x v="2"/>
    <s v="S002"/>
    <s v="P0010"/>
    <x v="2"/>
    <x v="2"/>
    <n v="270"/>
    <n v="185"/>
    <n v="150"/>
    <n v="192.21"/>
    <n v="95.48"/>
    <x v="2"/>
    <x v="0"/>
    <x v="1"/>
    <n v="91.76"/>
    <x v="2"/>
    <n v="0.68518518518518523"/>
  </r>
  <r>
    <x v="2"/>
    <s v="S002"/>
    <s v="P0011"/>
    <x v="4"/>
    <x v="0"/>
    <n v="217"/>
    <n v="143"/>
    <n v="66"/>
    <n v="154.26"/>
    <n v="37.81"/>
    <x v="0"/>
    <x v="3"/>
    <x v="1"/>
    <n v="37.14"/>
    <x v="0"/>
    <n v="0.65898617511520741"/>
  </r>
  <r>
    <x v="2"/>
    <s v="S002"/>
    <s v="P0012"/>
    <x v="2"/>
    <x v="2"/>
    <n v="221"/>
    <n v="85"/>
    <n v="84"/>
    <n v="104.48"/>
    <n v="48.7"/>
    <x v="1"/>
    <x v="0"/>
    <x v="0"/>
    <n v="51.33"/>
    <x v="3"/>
    <n v="0.38461538461538464"/>
  </r>
  <r>
    <x v="2"/>
    <s v="S002"/>
    <s v="P0013"/>
    <x v="0"/>
    <x v="2"/>
    <n v="303"/>
    <n v="270"/>
    <n v="164"/>
    <n v="268.73"/>
    <n v="65.89"/>
    <x v="1"/>
    <x v="2"/>
    <x v="0"/>
    <n v="64.52"/>
    <x v="1"/>
    <n v="0.8910891089108911"/>
  </r>
  <r>
    <x v="2"/>
    <s v="S002"/>
    <s v="P0014"/>
    <x v="0"/>
    <x v="2"/>
    <n v="298"/>
    <n v="233"/>
    <n v="143"/>
    <n v="245.02"/>
    <n v="20.37"/>
    <x v="2"/>
    <x v="0"/>
    <x v="1"/>
    <n v="23.3"/>
    <x v="3"/>
    <n v="0.78187919463087252"/>
  </r>
  <r>
    <x v="2"/>
    <s v="S002"/>
    <s v="P0015"/>
    <x v="3"/>
    <x v="2"/>
    <n v="193"/>
    <n v="187"/>
    <n v="57"/>
    <n v="177.8"/>
    <n v="46.25"/>
    <x v="2"/>
    <x v="3"/>
    <x v="0"/>
    <n v="49.2"/>
    <x v="3"/>
    <n v="0.9689119170984456"/>
  </r>
  <r>
    <x v="2"/>
    <s v="S002"/>
    <s v="P0016"/>
    <x v="2"/>
    <x v="1"/>
    <n v="205"/>
    <n v="39"/>
    <n v="147"/>
    <n v="37.83"/>
    <n v="71.739999999999995"/>
    <x v="1"/>
    <x v="0"/>
    <x v="0"/>
    <n v="76.17"/>
    <x v="2"/>
    <n v="0.19024390243902439"/>
  </r>
  <r>
    <x v="2"/>
    <s v="S002"/>
    <s v="P0017"/>
    <x v="1"/>
    <x v="2"/>
    <n v="427"/>
    <n v="234"/>
    <n v="195"/>
    <n v="231.16"/>
    <n v="20.57"/>
    <x v="1"/>
    <x v="0"/>
    <x v="1"/>
    <n v="22.24"/>
    <x v="0"/>
    <n v="0.54800936768149888"/>
  </r>
  <r>
    <x v="2"/>
    <s v="S002"/>
    <s v="P0018"/>
    <x v="4"/>
    <x v="1"/>
    <n v="365"/>
    <n v="213"/>
    <n v="106"/>
    <n v="208.31"/>
    <n v="29.88"/>
    <x v="0"/>
    <x v="0"/>
    <x v="1"/>
    <n v="25.73"/>
    <x v="0"/>
    <n v="0.58356164383561648"/>
  </r>
  <r>
    <x v="2"/>
    <s v="S002"/>
    <s v="P0019"/>
    <x v="4"/>
    <x v="0"/>
    <n v="111"/>
    <n v="55"/>
    <n v="163"/>
    <n v="71.88"/>
    <n v="73.98"/>
    <x v="4"/>
    <x v="0"/>
    <x v="1"/>
    <n v="73.5"/>
    <x v="2"/>
    <n v="0.49549549549549549"/>
  </r>
  <r>
    <x v="2"/>
    <s v="S002"/>
    <s v="P0020"/>
    <x v="0"/>
    <x v="1"/>
    <n v="271"/>
    <n v="22"/>
    <n v="178"/>
    <n v="15.3"/>
    <n v="45.02"/>
    <x v="1"/>
    <x v="1"/>
    <x v="0"/>
    <n v="47.01"/>
    <x v="3"/>
    <n v="8.1180811808118078E-2"/>
  </r>
  <r>
    <x v="2"/>
    <s v="S003"/>
    <s v="P0001"/>
    <x v="4"/>
    <x v="0"/>
    <n v="134"/>
    <n v="100"/>
    <n v="185"/>
    <n v="100.66"/>
    <n v="82.88"/>
    <x v="1"/>
    <x v="1"/>
    <x v="1"/>
    <n v="86.74"/>
    <x v="0"/>
    <n v="0.74626865671641796"/>
  </r>
  <r>
    <x v="2"/>
    <s v="S003"/>
    <s v="P0002"/>
    <x v="0"/>
    <x v="0"/>
    <n v="405"/>
    <n v="353"/>
    <n v="74"/>
    <n v="355.08"/>
    <n v="17.36"/>
    <x v="2"/>
    <x v="2"/>
    <x v="1"/>
    <n v="17.32"/>
    <x v="3"/>
    <n v="0.8716049382716049"/>
  </r>
  <r>
    <x v="2"/>
    <s v="S003"/>
    <s v="P0003"/>
    <x v="2"/>
    <x v="2"/>
    <n v="290"/>
    <n v="255"/>
    <n v="118"/>
    <n v="246.78"/>
    <n v="42.7"/>
    <x v="0"/>
    <x v="3"/>
    <x v="0"/>
    <n v="40.380000000000003"/>
    <x v="0"/>
    <n v="0.87931034482758619"/>
  </r>
  <r>
    <x v="2"/>
    <s v="S003"/>
    <s v="P0004"/>
    <x v="4"/>
    <x v="1"/>
    <n v="403"/>
    <n v="154"/>
    <n v="189"/>
    <n v="166.81"/>
    <n v="89.67"/>
    <x v="4"/>
    <x v="1"/>
    <x v="0"/>
    <n v="88.99"/>
    <x v="0"/>
    <n v="0.38213399503722084"/>
  </r>
  <r>
    <x v="2"/>
    <s v="S003"/>
    <s v="P0005"/>
    <x v="4"/>
    <x v="3"/>
    <n v="311"/>
    <n v="147"/>
    <n v="29"/>
    <n v="154.97"/>
    <n v="65.77"/>
    <x v="2"/>
    <x v="2"/>
    <x v="1"/>
    <n v="61.06"/>
    <x v="3"/>
    <n v="0.47266881028938906"/>
  </r>
  <r>
    <x v="2"/>
    <s v="S003"/>
    <s v="P0006"/>
    <x v="2"/>
    <x v="0"/>
    <n v="448"/>
    <n v="342"/>
    <n v="112"/>
    <n v="357.52"/>
    <n v="95.74"/>
    <x v="1"/>
    <x v="2"/>
    <x v="0"/>
    <n v="94.29"/>
    <x v="1"/>
    <n v="0.7633928571428571"/>
  </r>
  <r>
    <x v="2"/>
    <s v="S003"/>
    <s v="P0007"/>
    <x v="3"/>
    <x v="2"/>
    <n v="277"/>
    <n v="54"/>
    <n v="126"/>
    <n v="48.62"/>
    <n v="98.9"/>
    <x v="2"/>
    <x v="2"/>
    <x v="0"/>
    <n v="97.62"/>
    <x v="1"/>
    <n v="0.19494584837545126"/>
  </r>
  <r>
    <x v="2"/>
    <s v="S003"/>
    <s v="P0008"/>
    <x v="1"/>
    <x v="3"/>
    <n v="421"/>
    <n v="289"/>
    <n v="112"/>
    <n v="292.20999999999998"/>
    <n v="41.11"/>
    <x v="4"/>
    <x v="2"/>
    <x v="0"/>
    <n v="36.9"/>
    <x v="1"/>
    <n v="0.68646080760095007"/>
  </r>
  <r>
    <x v="2"/>
    <s v="S003"/>
    <s v="P0009"/>
    <x v="1"/>
    <x v="1"/>
    <n v="241"/>
    <n v="179"/>
    <n v="135"/>
    <n v="198.59"/>
    <n v="42.07"/>
    <x v="2"/>
    <x v="3"/>
    <x v="1"/>
    <n v="37.659999999999997"/>
    <x v="2"/>
    <n v="0.74273858921161828"/>
  </r>
  <r>
    <x v="2"/>
    <s v="S003"/>
    <s v="P0010"/>
    <x v="3"/>
    <x v="1"/>
    <n v="186"/>
    <n v="175"/>
    <n v="75"/>
    <n v="177.8"/>
    <n v="95.89"/>
    <x v="2"/>
    <x v="0"/>
    <x v="1"/>
    <n v="96.19"/>
    <x v="0"/>
    <n v="0.94086021505376349"/>
  </r>
  <r>
    <x v="2"/>
    <s v="S003"/>
    <s v="P0011"/>
    <x v="4"/>
    <x v="2"/>
    <n v="413"/>
    <n v="209"/>
    <n v="86"/>
    <n v="220.54"/>
    <n v="84.12"/>
    <x v="3"/>
    <x v="1"/>
    <x v="0"/>
    <n v="89.06"/>
    <x v="3"/>
    <n v="0.50605326876513312"/>
  </r>
  <r>
    <x v="2"/>
    <s v="S003"/>
    <s v="P0012"/>
    <x v="1"/>
    <x v="3"/>
    <n v="112"/>
    <n v="109"/>
    <n v="46"/>
    <n v="113.33"/>
    <n v="71.209999999999994"/>
    <x v="0"/>
    <x v="0"/>
    <x v="1"/>
    <n v="74.709999999999994"/>
    <x v="1"/>
    <n v="0.9732142857142857"/>
  </r>
  <r>
    <x v="2"/>
    <s v="S003"/>
    <s v="P0013"/>
    <x v="0"/>
    <x v="1"/>
    <n v="268"/>
    <n v="43"/>
    <n v="78"/>
    <n v="49.77"/>
    <n v="49.23"/>
    <x v="2"/>
    <x v="0"/>
    <x v="1"/>
    <n v="47.75"/>
    <x v="3"/>
    <n v="0.16044776119402984"/>
  </r>
  <r>
    <x v="2"/>
    <s v="S003"/>
    <s v="P0014"/>
    <x v="1"/>
    <x v="1"/>
    <n v="347"/>
    <n v="58"/>
    <n v="38"/>
    <n v="49.31"/>
    <n v="21.87"/>
    <x v="1"/>
    <x v="0"/>
    <x v="1"/>
    <n v="25"/>
    <x v="0"/>
    <n v="0.16714697406340057"/>
  </r>
  <r>
    <x v="2"/>
    <s v="S003"/>
    <s v="P0015"/>
    <x v="2"/>
    <x v="1"/>
    <n v="495"/>
    <n v="399"/>
    <n v="86"/>
    <n v="390.1"/>
    <n v="60.83"/>
    <x v="2"/>
    <x v="2"/>
    <x v="1"/>
    <n v="60.34"/>
    <x v="3"/>
    <n v="0.80606060606060603"/>
  </r>
  <r>
    <x v="2"/>
    <s v="S003"/>
    <s v="P0016"/>
    <x v="4"/>
    <x v="2"/>
    <n v="324"/>
    <n v="95"/>
    <n v="145"/>
    <n v="111.3"/>
    <n v="56.78"/>
    <x v="0"/>
    <x v="0"/>
    <x v="0"/>
    <n v="60.75"/>
    <x v="2"/>
    <n v="0.2932098765432099"/>
  </r>
  <r>
    <x v="2"/>
    <s v="S003"/>
    <s v="P0017"/>
    <x v="4"/>
    <x v="2"/>
    <n v="330"/>
    <n v="296"/>
    <n v="138"/>
    <n v="297.58"/>
    <n v="76.12"/>
    <x v="3"/>
    <x v="3"/>
    <x v="0"/>
    <n v="77.55"/>
    <x v="3"/>
    <n v="0.89696969696969697"/>
  </r>
  <r>
    <x v="2"/>
    <s v="S003"/>
    <s v="P0018"/>
    <x v="2"/>
    <x v="3"/>
    <n v="297"/>
    <n v="105"/>
    <n v="66"/>
    <n v="104.66"/>
    <n v="98.9"/>
    <x v="1"/>
    <x v="1"/>
    <x v="0"/>
    <n v="96.55"/>
    <x v="2"/>
    <n v="0.35353535353535354"/>
  </r>
  <r>
    <x v="2"/>
    <s v="S003"/>
    <s v="P0019"/>
    <x v="4"/>
    <x v="3"/>
    <n v="169"/>
    <n v="103"/>
    <n v="47"/>
    <n v="107.67"/>
    <n v="46.24"/>
    <x v="3"/>
    <x v="2"/>
    <x v="0"/>
    <n v="47.84"/>
    <x v="0"/>
    <n v="0.60946745562130178"/>
  </r>
  <r>
    <x v="2"/>
    <s v="S003"/>
    <s v="P0020"/>
    <x v="1"/>
    <x v="1"/>
    <n v="257"/>
    <n v="131"/>
    <n v="103"/>
    <n v="123.65"/>
    <n v="16.350000000000001"/>
    <x v="4"/>
    <x v="2"/>
    <x v="0"/>
    <n v="19.59"/>
    <x v="0"/>
    <n v="0.50972762645914393"/>
  </r>
  <r>
    <x v="2"/>
    <s v="S004"/>
    <s v="P0001"/>
    <x v="0"/>
    <x v="3"/>
    <n v="175"/>
    <n v="66"/>
    <n v="140"/>
    <n v="56.84"/>
    <n v="83.63"/>
    <x v="4"/>
    <x v="1"/>
    <x v="0"/>
    <n v="79.900000000000006"/>
    <x v="1"/>
    <n v="0.37714285714285717"/>
  </r>
  <r>
    <x v="2"/>
    <s v="S004"/>
    <s v="P0002"/>
    <x v="0"/>
    <x v="2"/>
    <n v="228"/>
    <n v="163"/>
    <n v="161"/>
    <n v="161.47999999999999"/>
    <n v="81.569999999999993"/>
    <x v="2"/>
    <x v="2"/>
    <x v="1"/>
    <n v="77.66"/>
    <x v="2"/>
    <n v="0.71491228070175439"/>
  </r>
  <r>
    <x v="2"/>
    <s v="S004"/>
    <s v="P0003"/>
    <x v="4"/>
    <x v="1"/>
    <n v="188"/>
    <n v="98"/>
    <n v="176"/>
    <n v="98.87"/>
    <n v="44.68"/>
    <x v="1"/>
    <x v="3"/>
    <x v="0"/>
    <n v="42.55"/>
    <x v="3"/>
    <n v="0.52127659574468088"/>
  </r>
  <r>
    <x v="2"/>
    <s v="S004"/>
    <s v="P0004"/>
    <x v="0"/>
    <x v="3"/>
    <n v="211"/>
    <n v="150"/>
    <n v="20"/>
    <n v="167.75"/>
    <n v="60.11"/>
    <x v="2"/>
    <x v="0"/>
    <x v="1"/>
    <n v="62.3"/>
    <x v="1"/>
    <n v="0.7109004739336493"/>
  </r>
  <r>
    <x v="2"/>
    <s v="S004"/>
    <s v="P0005"/>
    <x v="3"/>
    <x v="0"/>
    <n v="149"/>
    <n v="15"/>
    <n v="60"/>
    <n v="21.91"/>
    <n v="24.63"/>
    <x v="0"/>
    <x v="3"/>
    <x v="0"/>
    <n v="27.97"/>
    <x v="2"/>
    <n v="0.10067114093959731"/>
  </r>
  <r>
    <x v="2"/>
    <s v="S004"/>
    <s v="P0006"/>
    <x v="2"/>
    <x v="0"/>
    <n v="383"/>
    <n v="36"/>
    <n v="75"/>
    <n v="26.89"/>
    <n v="36.31"/>
    <x v="3"/>
    <x v="2"/>
    <x v="1"/>
    <n v="34.82"/>
    <x v="0"/>
    <n v="9.3994778067885115E-2"/>
  </r>
  <r>
    <x v="2"/>
    <s v="S004"/>
    <s v="P0007"/>
    <x v="2"/>
    <x v="3"/>
    <n v="478"/>
    <n v="303"/>
    <n v="153"/>
    <n v="307.7"/>
    <n v="11.36"/>
    <x v="4"/>
    <x v="2"/>
    <x v="1"/>
    <n v="15.64"/>
    <x v="0"/>
    <n v="0.63389121338912136"/>
  </r>
  <r>
    <x v="2"/>
    <s v="S004"/>
    <s v="P0008"/>
    <x v="2"/>
    <x v="3"/>
    <n v="217"/>
    <n v="209"/>
    <n v="35"/>
    <n v="215.04"/>
    <n v="63.1"/>
    <x v="1"/>
    <x v="0"/>
    <x v="1"/>
    <n v="65.17"/>
    <x v="2"/>
    <n v="0.96313364055299544"/>
  </r>
  <r>
    <x v="2"/>
    <s v="S004"/>
    <s v="P0009"/>
    <x v="2"/>
    <x v="2"/>
    <n v="73"/>
    <n v="69"/>
    <n v="65"/>
    <n v="68.510000000000005"/>
    <n v="30.82"/>
    <x v="0"/>
    <x v="1"/>
    <x v="0"/>
    <n v="35.26"/>
    <x v="2"/>
    <n v="0.9452054794520548"/>
  </r>
  <r>
    <x v="2"/>
    <s v="S004"/>
    <s v="P0010"/>
    <x v="2"/>
    <x v="2"/>
    <n v="467"/>
    <n v="143"/>
    <n v="183"/>
    <n v="139.44"/>
    <n v="23.73"/>
    <x v="2"/>
    <x v="3"/>
    <x v="0"/>
    <n v="21.84"/>
    <x v="2"/>
    <n v="0.30620985010706636"/>
  </r>
  <r>
    <x v="2"/>
    <s v="S004"/>
    <s v="P0011"/>
    <x v="4"/>
    <x v="2"/>
    <n v="353"/>
    <n v="239"/>
    <n v="44"/>
    <n v="255.26"/>
    <n v="29.49"/>
    <x v="3"/>
    <x v="1"/>
    <x v="0"/>
    <n v="31.68"/>
    <x v="2"/>
    <n v="0.67705382436260619"/>
  </r>
  <r>
    <x v="2"/>
    <s v="S004"/>
    <s v="P0012"/>
    <x v="0"/>
    <x v="0"/>
    <n v="471"/>
    <n v="192"/>
    <n v="115"/>
    <n v="188.72"/>
    <n v="74.42"/>
    <x v="4"/>
    <x v="2"/>
    <x v="1"/>
    <n v="75.61"/>
    <x v="0"/>
    <n v="0.40764331210191085"/>
  </r>
  <r>
    <x v="2"/>
    <s v="S004"/>
    <s v="P0013"/>
    <x v="4"/>
    <x v="1"/>
    <n v="129"/>
    <n v="23"/>
    <n v="92"/>
    <n v="38.86"/>
    <n v="58.3"/>
    <x v="0"/>
    <x v="0"/>
    <x v="1"/>
    <n v="59.12"/>
    <x v="0"/>
    <n v="0.17829457364341086"/>
  </r>
  <r>
    <x v="2"/>
    <s v="S004"/>
    <s v="P0014"/>
    <x v="0"/>
    <x v="3"/>
    <n v="301"/>
    <n v="165"/>
    <n v="34"/>
    <n v="160.46"/>
    <n v="60.58"/>
    <x v="2"/>
    <x v="1"/>
    <x v="1"/>
    <n v="58.02"/>
    <x v="2"/>
    <n v="0.54817275747508309"/>
  </r>
  <r>
    <x v="2"/>
    <s v="S004"/>
    <s v="P0015"/>
    <x v="0"/>
    <x v="1"/>
    <n v="423"/>
    <n v="85"/>
    <n v="73"/>
    <n v="95.5"/>
    <n v="73.48"/>
    <x v="2"/>
    <x v="0"/>
    <x v="0"/>
    <n v="77"/>
    <x v="3"/>
    <n v="0.20094562647754138"/>
  </r>
  <r>
    <x v="2"/>
    <s v="S004"/>
    <s v="P0016"/>
    <x v="0"/>
    <x v="3"/>
    <n v="385"/>
    <n v="79"/>
    <n v="130"/>
    <n v="86.62"/>
    <n v="16.18"/>
    <x v="1"/>
    <x v="2"/>
    <x v="0"/>
    <n v="18.350000000000001"/>
    <x v="3"/>
    <n v="0.20519480519480521"/>
  </r>
  <r>
    <x v="2"/>
    <s v="S004"/>
    <s v="P0017"/>
    <x v="1"/>
    <x v="0"/>
    <n v="74"/>
    <n v="33"/>
    <n v="29"/>
    <n v="43.64"/>
    <n v="38.520000000000003"/>
    <x v="4"/>
    <x v="0"/>
    <x v="0"/>
    <n v="39.57"/>
    <x v="3"/>
    <n v="0.44594594594594594"/>
  </r>
  <r>
    <x v="2"/>
    <s v="S004"/>
    <s v="P0018"/>
    <x v="2"/>
    <x v="1"/>
    <n v="467"/>
    <n v="270"/>
    <n v="108"/>
    <n v="270.37"/>
    <n v="46.93"/>
    <x v="2"/>
    <x v="3"/>
    <x v="0"/>
    <n v="46.83"/>
    <x v="2"/>
    <n v="0.57815845824411138"/>
  </r>
  <r>
    <x v="2"/>
    <s v="S004"/>
    <s v="P0019"/>
    <x v="1"/>
    <x v="0"/>
    <n v="140"/>
    <n v="1"/>
    <n v="47"/>
    <n v="-3.91"/>
    <n v="80.41"/>
    <x v="2"/>
    <x v="3"/>
    <x v="0"/>
    <n v="76.900000000000006"/>
    <x v="2"/>
    <n v="7.1428571428571426E-3"/>
  </r>
  <r>
    <x v="2"/>
    <s v="S004"/>
    <s v="P0020"/>
    <x v="4"/>
    <x v="3"/>
    <n v="197"/>
    <n v="149"/>
    <n v="134"/>
    <n v="161.19999999999999"/>
    <n v="95.33"/>
    <x v="0"/>
    <x v="2"/>
    <x v="0"/>
    <n v="97.42"/>
    <x v="2"/>
    <n v="0.75634517766497467"/>
  </r>
  <r>
    <x v="2"/>
    <s v="S005"/>
    <s v="P0001"/>
    <x v="0"/>
    <x v="0"/>
    <n v="159"/>
    <n v="3"/>
    <n v="145"/>
    <n v="18.12"/>
    <n v="36.299999999999997"/>
    <x v="2"/>
    <x v="3"/>
    <x v="0"/>
    <n v="34.96"/>
    <x v="2"/>
    <n v="1.8867924528301886E-2"/>
  </r>
  <r>
    <x v="2"/>
    <s v="S005"/>
    <s v="P0002"/>
    <x v="2"/>
    <x v="0"/>
    <n v="322"/>
    <n v="59"/>
    <n v="111"/>
    <n v="78.349999999999994"/>
    <n v="82.08"/>
    <x v="1"/>
    <x v="1"/>
    <x v="1"/>
    <n v="84.13"/>
    <x v="3"/>
    <n v="0.18322981366459629"/>
  </r>
  <r>
    <x v="2"/>
    <s v="S005"/>
    <s v="P0003"/>
    <x v="0"/>
    <x v="3"/>
    <n v="106"/>
    <n v="15"/>
    <n v="101"/>
    <n v="25.13"/>
    <n v="46.4"/>
    <x v="0"/>
    <x v="3"/>
    <x v="0"/>
    <n v="49.42"/>
    <x v="1"/>
    <n v="0.14150943396226415"/>
  </r>
  <r>
    <x v="2"/>
    <s v="S005"/>
    <s v="P0004"/>
    <x v="0"/>
    <x v="1"/>
    <n v="475"/>
    <n v="351"/>
    <n v="132"/>
    <n v="358.12"/>
    <n v="59.76"/>
    <x v="3"/>
    <x v="2"/>
    <x v="0"/>
    <n v="57.14"/>
    <x v="3"/>
    <n v="0.73894736842105269"/>
  </r>
  <r>
    <x v="2"/>
    <s v="S005"/>
    <s v="P0005"/>
    <x v="0"/>
    <x v="0"/>
    <n v="83"/>
    <n v="66"/>
    <n v="57"/>
    <n v="63.37"/>
    <n v="60.35"/>
    <x v="0"/>
    <x v="1"/>
    <x v="1"/>
    <n v="60.81"/>
    <x v="2"/>
    <n v="0.79518072289156627"/>
  </r>
  <r>
    <x v="2"/>
    <s v="S005"/>
    <s v="P0006"/>
    <x v="0"/>
    <x v="2"/>
    <n v="117"/>
    <n v="62"/>
    <n v="58"/>
    <n v="59.04"/>
    <n v="40.61"/>
    <x v="1"/>
    <x v="3"/>
    <x v="1"/>
    <n v="44.37"/>
    <x v="0"/>
    <n v="0.52991452991452992"/>
  </r>
  <r>
    <x v="2"/>
    <s v="S005"/>
    <s v="P0007"/>
    <x v="4"/>
    <x v="2"/>
    <n v="368"/>
    <n v="77"/>
    <n v="44"/>
    <n v="95.69"/>
    <n v="63.61"/>
    <x v="3"/>
    <x v="0"/>
    <x v="1"/>
    <n v="63.81"/>
    <x v="2"/>
    <n v="0.20923913043478262"/>
  </r>
  <r>
    <x v="2"/>
    <s v="S005"/>
    <s v="P0008"/>
    <x v="2"/>
    <x v="1"/>
    <n v="207"/>
    <n v="177"/>
    <n v="154"/>
    <n v="173.93"/>
    <n v="97.09"/>
    <x v="3"/>
    <x v="3"/>
    <x v="1"/>
    <n v="95.17"/>
    <x v="1"/>
    <n v="0.85507246376811596"/>
  </r>
  <r>
    <x v="2"/>
    <s v="S005"/>
    <s v="P0009"/>
    <x v="2"/>
    <x v="2"/>
    <n v="398"/>
    <n v="349"/>
    <n v="98"/>
    <n v="350.47"/>
    <n v="52.72"/>
    <x v="1"/>
    <x v="1"/>
    <x v="0"/>
    <n v="55.74"/>
    <x v="2"/>
    <n v="0.87688442211055273"/>
  </r>
  <r>
    <x v="2"/>
    <s v="S005"/>
    <s v="P0010"/>
    <x v="0"/>
    <x v="0"/>
    <n v="476"/>
    <n v="74"/>
    <n v="25"/>
    <n v="91.48"/>
    <n v="14.41"/>
    <x v="0"/>
    <x v="1"/>
    <x v="1"/>
    <n v="11.25"/>
    <x v="3"/>
    <n v="0.15546218487394958"/>
  </r>
  <r>
    <x v="2"/>
    <s v="S005"/>
    <s v="P0011"/>
    <x v="0"/>
    <x v="0"/>
    <n v="119"/>
    <n v="40"/>
    <n v="151"/>
    <n v="43.92"/>
    <n v="74.14"/>
    <x v="2"/>
    <x v="2"/>
    <x v="1"/>
    <n v="69.67"/>
    <x v="2"/>
    <n v="0.33613445378151263"/>
  </r>
  <r>
    <x v="2"/>
    <s v="S005"/>
    <s v="P0012"/>
    <x v="1"/>
    <x v="0"/>
    <n v="77"/>
    <n v="72"/>
    <n v="27"/>
    <n v="68.010000000000005"/>
    <n v="46.94"/>
    <x v="0"/>
    <x v="0"/>
    <x v="1"/>
    <n v="46.58"/>
    <x v="2"/>
    <n v="0.93506493506493504"/>
  </r>
  <r>
    <x v="2"/>
    <s v="S005"/>
    <s v="P0013"/>
    <x v="1"/>
    <x v="1"/>
    <n v="191"/>
    <n v="190"/>
    <n v="126"/>
    <n v="205.54"/>
    <n v="23.04"/>
    <x v="3"/>
    <x v="3"/>
    <x v="0"/>
    <n v="19.329999999999998"/>
    <x v="0"/>
    <n v="0.99476439790575921"/>
  </r>
  <r>
    <x v="2"/>
    <s v="S005"/>
    <s v="P0014"/>
    <x v="1"/>
    <x v="0"/>
    <n v="419"/>
    <n v="263"/>
    <n v="189"/>
    <n v="263.83"/>
    <n v="28.02"/>
    <x v="3"/>
    <x v="1"/>
    <x v="1"/>
    <n v="23.72"/>
    <x v="0"/>
    <n v="0.62768496420047737"/>
  </r>
  <r>
    <x v="2"/>
    <s v="S005"/>
    <s v="P0015"/>
    <x v="1"/>
    <x v="1"/>
    <n v="184"/>
    <n v="126"/>
    <n v="175"/>
    <n v="143.76"/>
    <n v="86.82"/>
    <x v="0"/>
    <x v="2"/>
    <x v="0"/>
    <n v="85.26"/>
    <x v="0"/>
    <n v="0.68478260869565222"/>
  </r>
  <r>
    <x v="2"/>
    <s v="S005"/>
    <s v="P0016"/>
    <x v="4"/>
    <x v="0"/>
    <n v="361"/>
    <n v="17"/>
    <n v="171"/>
    <n v="25.61"/>
    <n v="80.31"/>
    <x v="3"/>
    <x v="2"/>
    <x v="1"/>
    <n v="76.56"/>
    <x v="3"/>
    <n v="4.7091412742382273E-2"/>
  </r>
  <r>
    <x v="2"/>
    <s v="S005"/>
    <s v="P0017"/>
    <x v="1"/>
    <x v="3"/>
    <n v="154"/>
    <n v="19"/>
    <n v="116"/>
    <n v="37.450000000000003"/>
    <n v="41.28"/>
    <x v="1"/>
    <x v="0"/>
    <x v="0"/>
    <n v="40.590000000000003"/>
    <x v="3"/>
    <n v="0.12337662337662338"/>
  </r>
  <r>
    <x v="2"/>
    <s v="S005"/>
    <s v="P0018"/>
    <x v="1"/>
    <x v="0"/>
    <n v="376"/>
    <n v="36"/>
    <n v="53"/>
    <n v="43.47"/>
    <n v="38.42"/>
    <x v="2"/>
    <x v="3"/>
    <x v="1"/>
    <n v="35.979999999999997"/>
    <x v="2"/>
    <n v="9.5744680851063829E-2"/>
  </r>
  <r>
    <x v="2"/>
    <s v="S005"/>
    <s v="P0019"/>
    <x v="1"/>
    <x v="0"/>
    <n v="268"/>
    <n v="207"/>
    <n v="177"/>
    <n v="198.44"/>
    <n v="59.93"/>
    <x v="0"/>
    <x v="3"/>
    <x v="0"/>
    <n v="64.67"/>
    <x v="0"/>
    <n v="0.77238805970149249"/>
  </r>
  <r>
    <x v="2"/>
    <s v="S005"/>
    <s v="P0020"/>
    <x v="1"/>
    <x v="1"/>
    <n v="451"/>
    <n v="91"/>
    <n v="193"/>
    <n v="99.88"/>
    <n v="66.760000000000005"/>
    <x v="3"/>
    <x v="1"/>
    <x v="0"/>
    <n v="62.53"/>
    <x v="1"/>
    <n v="0.20177383592017739"/>
  </r>
  <r>
    <x v="3"/>
    <s v="S001"/>
    <s v="P0001"/>
    <x v="0"/>
    <x v="1"/>
    <n v="85"/>
    <n v="58"/>
    <n v="193"/>
    <n v="52.87"/>
    <n v="77.88"/>
    <x v="4"/>
    <x v="2"/>
    <x v="1"/>
    <n v="75.989999999999995"/>
    <x v="2"/>
    <n v="0.68235294117647061"/>
  </r>
  <r>
    <x v="3"/>
    <s v="S001"/>
    <s v="P0002"/>
    <x v="2"/>
    <x v="0"/>
    <n v="91"/>
    <n v="91"/>
    <n v="142"/>
    <n v="82.65"/>
    <n v="88.22"/>
    <x v="4"/>
    <x v="1"/>
    <x v="1"/>
    <n v="87.44"/>
    <x v="0"/>
    <n v="1"/>
  </r>
  <r>
    <x v="3"/>
    <s v="S001"/>
    <s v="P0003"/>
    <x v="1"/>
    <x v="1"/>
    <n v="184"/>
    <n v="70"/>
    <n v="191"/>
    <n v="82.51"/>
    <n v="10.55"/>
    <x v="4"/>
    <x v="2"/>
    <x v="0"/>
    <n v="7.6"/>
    <x v="2"/>
    <n v="0.38043478260869568"/>
  </r>
  <r>
    <x v="3"/>
    <s v="S001"/>
    <s v="P0004"/>
    <x v="2"/>
    <x v="0"/>
    <n v="209"/>
    <n v="0"/>
    <n v="123"/>
    <n v="15.37"/>
    <n v="44.81"/>
    <x v="3"/>
    <x v="1"/>
    <x v="1"/>
    <n v="45.53"/>
    <x v="2"/>
    <n v="0"/>
  </r>
  <r>
    <x v="3"/>
    <s v="S001"/>
    <s v="P0005"/>
    <x v="2"/>
    <x v="3"/>
    <n v="470"/>
    <n v="32"/>
    <n v="192"/>
    <n v="45.57"/>
    <n v="69.650000000000006"/>
    <x v="1"/>
    <x v="3"/>
    <x v="0"/>
    <n v="73.5"/>
    <x v="3"/>
    <n v="6.8085106382978725E-2"/>
  </r>
  <r>
    <x v="3"/>
    <s v="S001"/>
    <s v="P0006"/>
    <x v="4"/>
    <x v="1"/>
    <n v="127"/>
    <n v="8"/>
    <n v="84"/>
    <n v="0.54"/>
    <n v="53.35"/>
    <x v="0"/>
    <x v="2"/>
    <x v="0"/>
    <n v="55.07"/>
    <x v="3"/>
    <n v="6.2992125984251968E-2"/>
  </r>
  <r>
    <x v="3"/>
    <s v="S001"/>
    <s v="P0007"/>
    <x v="0"/>
    <x v="0"/>
    <n v="367"/>
    <n v="341"/>
    <n v="39"/>
    <n v="336.71"/>
    <n v="33.47"/>
    <x v="3"/>
    <x v="2"/>
    <x v="0"/>
    <n v="28.95"/>
    <x v="3"/>
    <n v="0.92915531335149859"/>
  </r>
  <r>
    <x v="3"/>
    <s v="S001"/>
    <s v="P0008"/>
    <x v="2"/>
    <x v="3"/>
    <n v="404"/>
    <n v="347"/>
    <n v="183"/>
    <n v="350.96"/>
    <n v="61.1"/>
    <x v="0"/>
    <x v="1"/>
    <x v="0"/>
    <n v="58.46"/>
    <x v="2"/>
    <n v="0.8589108910891089"/>
  </r>
  <r>
    <x v="3"/>
    <s v="S001"/>
    <s v="P0009"/>
    <x v="0"/>
    <x v="0"/>
    <n v="403"/>
    <n v="15"/>
    <n v="187"/>
    <n v="26.72"/>
    <n v="45.25"/>
    <x v="1"/>
    <x v="1"/>
    <x v="0"/>
    <n v="46.74"/>
    <x v="1"/>
    <n v="3.7220843672456573E-2"/>
  </r>
  <r>
    <x v="3"/>
    <s v="S001"/>
    <s v="P0010"/>
    <x v="1"/>
    <x v="3"/>
    <n v="494"/>
    <n v="85"/>
    <n v="122"/>
    <n v="92.86"/>
    <n v="94.98"/>
    <x v="0"/>
    <x v="0"/>
    <x v="0"/>
    <n v="98.87"/>
    <x v="0"/>
    <n v="0.17206477732793521"/>
  </r>
  <r>
    <x v="3"/>
    <s v="S001"/>
    <s v="P0011"/>
    <x v="1"/>
    <x v="1"/>
    <n v="421"/>
    <n v="30"/>
    <n v="33"/>
    <n v="49.2"/>
    <n v="24.21"/>
    <x v="2"/>
    <x v="1"/>
    <x v="0"/>
    <n v="25.48"/>
    <x v="3"/>
    <n v="7.1258907363420429E-2"/>
  </r>
  <r>
    <x v="3"/>
    <s v="S001"/>
    <s v="P0012"/>
    <x v="2"/>
    <x v="2"/>
    <n v="150"/>
    <n v="136"/>
    <n v="129"/>
    <n v="140.63999999999999"/>
    <n v="66.069999999999993"/>
    <x v="3"/>
    <x v="3"/>
    <x v="0"/>
    <n v="70.84"/>
    <x v="2"/>
    <n v="0.90666666666666662"/>
  </r>
  <r>
    <x v="3"/>
    <s v="S001"/>
    <s v="P0013"/>
    <x v="1"/>
    <x v="0"/>
    <n v="94"/>
    <n v="31"/>
    <n v="174"/>
    <n v="46.7"/>
    <n v="34.68"/>
    <x v="1"/>
    <x v="1"/>
    <x v="0"/>
    <n v="33.729999999999997"/>
    <x v="2"/>
    <n v="0.32978723404255317"/>
  </r>
  <r>
    <x v="3"/>
    <s v="S001"/>
    <s v="P0014"/>
    <x v="4"/>
    <x v="3"/>
    <n v="77"/>
    <n v="7"/>
    <n v="76"/>
    <n v="22.66"/>
    <n v="98.28"/>
    <x v="4"/>
    <x v="2"/>
    <x v="1"/>
    <n v="95.38"/>
    <x v="3"/>
    <n v="9.0909090909090912E-2"/>
  </r>
  <r>
    <x v="3"/>
    <s v="S001"/>
    <s v="P0015"/>
    <x v="2"/>
    <x v="2"/>
    <n v="430"/>
    <n v="377"/>
    <n v="118"/>
    <n v="371.89"/>
    <n v="87.24"/>
    <x v="1"/>
    <x v="2"/>
    <x v="1"/>
    <n v="88.66"/>
    <x v="3"/>
    <n v="0.87674418604651161"/>
  </r>
  <r>
    <x v="3"/>
    <s v="S001"/>
    <s v="P0016"/>
    <x v="0"/>
    <x v="0"/>
    <n v="168"/>
    <n v="28"/>
    <n v="32"/>
    <n v="33.200000000000003"/>
    <n v="93.4"/>
    <x v="1"/>
    <x v="1"/>
    <x v="0"/>
    <n v="93.22"/>
    <x v="1"/>
    <n v="0.16666666666666666"/>
  </r>
  <r>
    <x v="3"/>
    <s v="S001"/>
    <s v="P0017"/>
    <x v="1"/>
    <x v="2"/>
    <n v="353"/>
    <n v="348"/>
    <n v="36"/>
    <n v="349.59"/>
    <n v="53.02"/>
    <x v="2"/>
    <x v="2"/>
    <x v="1"/>
    <n v="57.08"/>
    <x v="0"/>
    <n v="0.98583569405099147"/>
  </r>
  <r>
    <x v="3"/>
    <s v="S001"/>
    <s v="P0018"/>
    <x v="0"/>
    <x v="1"/>
    <n v="380"/>
    <n v="258"/>
    <n v="66"/>
    <n v="258.58"/>
    <n v="58.54"/>
    <x v="3"/>
    <x v="1"/>
    <x v="1"/>
    <n v="60.77"/>
    <x v="1"/>
    <n v="0.67894736842105263"/>
  </r>
  <r>
    <x v="3"/>
    <s v="S001"/>
    <s v="P0019"/>
    <x v="1"/>
    <x v="2"/>
    <n v="127"/>
    <n v="41"/>
    <n v="191"/>
    <n v="50.38"/>
    <n v="63.29"/>
    <x v="4"/>
    <x v="1"/>
    <x v="1"/>
    <n v="61.73"/>
    <x v="0"/>
    <n v="0.32283464566929132"/>
  </r>
  <r>
    <x v="3"/>
    <s v="S001"/>
    <s v="P0020"/>
    <x v="2"/>
    <x v="0"/>
    <n v="153"/>
    <n v="49"/>
    <n v="139"/>
    <n v="44.55"/>
    <n v="10.93"/>
    <x v="2"/>
    <x v="3"/>
    <x v="1"/>
    <n v="10.76"/>
    <x v="2"/>
    <n v="0.3202614379084967"/>
  </r>
  <r>
    <x v="3"/>
    <s v="S002"/>
    <s v="P0001"/>
    <x v="4"/>
    <x v="0"/>
    <n v="108"/>
    <n v="83"/>
    <n v="25"/>
    <n v="85.5"/>
    <n v="45.49"/>
    <x v="3"/>
    <x v="1"/>
    <x v="1"/>
    <n v="44.33"/>
    <x v="3"/>
    <n v="0.76851851851851849"/>
  </r>
  <r>
    <x v="3"/>
    <s v="S002"/>
    <s v="P0002"/>
    <x v="3"/>
    <x v="2"/>
    <n v="109"/>
    <n v="60"/>
    <n v="172"/>
    <n v="71.47"/>
    <n v="52.33"/>
    <x v="1"/>
    <x v="2"/>
    <x v="1"/>
    <n v="51.78"/>
    <x v="1"/>
    <n v="0.55045871559633031"/>
  </r>
  <r>
    <x v="3"/>
    <s v="S002"/>
    <s v="P0003"/>
    <x v="1"/>
    <x v="0"/>
    <n v="493"/>
    <n v="448"/>
    <n v="113"/>
    <n v="459.44"/>
    <n v="41.55"/>
    <x v="4"/>
    <x v="0"/>
    <x v="0"/>
    <n v="44.02"/>
    <x v="2"/>
    <n v="0.90872210953346855"/>
  </r>
  <r>
    <x v="3"/>
    <s v="S002"/>
    <s v="P0004"/>
    <x v="1"/>
    <x v="3"/>
    <n v="289"/>
    <n v="11"/>
    <n v="21"/>
    <n v="26.96"/>
    <n v="58.13"/>
    <x v="2"/>
    <x v="1"/>
    <x v="1"/>
    <n v="61.63"/>
    <x v="1"/>
    <n v="3.8062283737024222E-2"/>
  </r>
  <r>
    <x v="3"/>
    <s v="S002"/>
    <s v="P0005"/>
    <x v="0"/>
    <x v="3"/>
    <n v="425"/>
    <n v="390"/>
    <n v="175"/>
    <n v="407.4"/>
    <n v="25.67"/>
    <x v="1"/>
    <x v="3"/>
    <x v="0"/>
    <n v="23.55"/>
    <x v="3"/>
    <n v="0.91764705882352937"/>
  </r>
  <r>
    <x v="3"/>
    <s v="S002"/>
    <s v="P0006"/>
    <x v="4"/>
    <x v="2"/>
    <n v="118"/>
    <n v="81"/>
    <n v="139"/>
    <n v="88.67"/>
    <n v="33.96"/>
    <x v="2"/>
    <x v="1"/>
    <x v="0"/>
    <n v="29.22"/>
    <x v="1"/>
    <n v="0.68644067796610164"/>
  </r>
  <r>
    <x v="3"/>
    <s v="S002"/>
    <s v="P0007"/>
    <x v="2"/>
    <x v="0"/>
    <n v="449"/>
    <n v="121"/>
    <n v="118"/>
    <n v="132.54"/>
    <n v="81.349999999999994"/>
    <x v="0"/>
    <x v="2"/>
    <x v="0"/>
    <n v="82.18"/>
    <x v="3"/>
    <n v="0.26948775055679286"/>
  </r>
  <r>
    <x v="3"/>
    <s v="S002"/>
    <s v="P0008"/>
    <x v="0"/>
    <x v="2"/>
    <n v="184"/>
    <n v="44"/>
    <n v="152"/>
    <n v="52.26"/>
    <n v="57.34"/>
    <x v="0"/>
    <x v="0"/>
    <x v="0"/>
    <n v="56.99"/>
    <x v="3"/>
    <n v="0.2391304347826087"/>
  </r>
  <r>
    <x v="3"/>
    <s v="S002"/>
    <s v="P0009"/>
    <x v="1"/>
    <x v="3"/>
    <n v="239"/>
    <n v="88"/>
    <n v="31"/>
    <n v="104.13"/>
    <n v="50.36"/>
    <x v="4"/>
    <x v="2"/>
    <x v="0"/>
    <n v="47.77"/>
    <x v="2"/>
    <n v="0.3682008368200837"/>
  </r>
  <r>
    <x v="3"/>
    <s v="S002"/>
    <s v="P0010"/>
    <x v="0"/>
    <x v="2"/>
    <n v="216"/>
    <n v="142"/>
    <n v="172"/>
    <n v="138.75"/>
    <n v="51.34"/>
    <x v="4"/>
    <x v="0"/>
    <x v="1"/>
    <n v="53.35"/>
    <x v="0"/>
    <n v="0.65740740740740744"/>
  </r>
  <r>
    <x v="3"/>
    <s v="S002"/>
    <s v="P0011"/>
    <x v="1"/>
    <x v="0"/>
    <n v="291"/>
    <n v="48"/>
    <n v="69"/>
    <n v="48.65"/>
    <n v="13.09"/>
    <x v="0"/>
    <x v="3"/>
    <x v="1"/>
    <n v="11.98"/>
    <x v="1"/>
    <n v="0.16494845360824742"/>
  </r>
  <r>
    <x v="3"/>
    <s v="S002"/>
    <s v="P0012"/>
    <x v="2"/>
    <x v="0"/>
    <n v="74"/>
    <n v="61"/>
    <n v="87"/>
    <n v="67.72"/>
    <n v="94.85"/>
    <x v="2"/>
    <x v="2"/>
    <x v="0"/>
    <n v="93.92"/>
    <x v="2"/>
    <n v="0.82432432432432434"/>
  </r>
  <r>
    <x v="3"/>
    <s v="S002"/>
    <s v="P0013"/>
    <x v="2"/>
    <x v="3"/>
    <n v="429"/>
    <n v="140"/>
    <n v="180"/>
    <n v="151.22"/>
    <n v="16.47"/>
    <x v="3"/>
    <x v="1"/>
    <x v="0"/>
    <n v="17.47"/>
    <x v="1"/>
    <n v="0.32634032634032634"/>
  </r>
  <r>
    <x v="3"/>
    <s v="S002"/>
    <s v="P0014"/>
    <x v="1"/>
    <x v="2"/>
    <n v="467"/>
    <n v="390"/>
    <n v="188"/>
    <n v="408.18"/>
    <n v="82.15"/>
    <x v="4"/>
    <x v="2"/>
    <x v="1"/>
    <n v="79.63"/>
    <x v="1"/>
    <n v="0.83511777301927193"/>
  </r>
  <r>
    <x v="3"/>
    <s v="S002"/>
    <s v="P0015"/>
    <x v="1"/>
    <x v="0"/>
    <n v="121"/>
    <n v="91"/>
    <n v="197"/>
    <n v="93.99"/>
    <n v="61.13"/>
    <x v="3"/>
    <x v="0"/>
    <x v="0"/>
    <n v="62.56"/>
    <x v="1"/>
    <n v="0.75206611570247939"/>
  </r>
  <r>
    <x v="3"/>
    <s v="S002"/>
    <s v="P0016"/>
    <x v="0"/>
    <x v="3"/>
    <n v="134"/>
    <n v="32"/>
    <n v="107"/>
    <n v="32.03"/>
    <n v="63.74"/>
    <x v="1"/>
    <x v="3"/>
    <x v="0"/>
    <n v="61.83"/>
    <x v="2"/>
    <n v="0.23880597014925373"/>
  </r>
  <r>
    <x v="3"/>
    <s v="S002"/>
    <s v="P0017"/>
    <x v="2"/>
    <x v="3"/>
    <n v="152"/>
    <n v="60"/>
    <n v="92"/>
    <n v="54.96"/>
    <n v="66.78"/>
    <x v="1"/>
    <x v="3"/>
    <x v="1"/>
    <n v="67.89"/>
    <x v="2"/>
    <n v="0.39473684210526316"/>
  </r>
  <r>
    <x v="3"/>
    <s v="S002"/>
    <s v="P0018"/>
    <x v="4"/>
    <x v="1"/>
    <n v="236"/>
    <n v="206"/>
    <n v="63"/>
    <n v="220.44"/>
    <n v="30.12"/>
    <x v="4"/>
    <x v="1"/>
    <x v="1"/>
    <n v="27.89"/>
    <x v="2"/>
    <n v="0.8728813559322034"/>
  </r>
  <r>
    <x v="3"/>
    <s v="S002"/>
    <s v="P0019"/>
    <x v="0"/>
    <x v="2"/>
    <n v="253"/>
    <n v="108"/>
    <n v="36"/>
    <n v="107.84"/>
    <n v="31.26"/>
    <x v="1"/>
    <x v="1"/>
    <x v="1"/>
    <n v="33.520000000000003"/>
    <x v="1"/>
    <n v="0.4268774703557312"/>
  </r>
  <r>
    <x v="3"/>
    <s v="S002"/>
    <s v="P0020"/>
    <x v="3"/>
    <x v="3"/>
    <n v="403"/>
    <n v="349"/>
    <n v="42"/>
    <n v="340.49"/>
    <n v="21.47"/>
    <x v="2"/>
    <x v="0"/>
    <x v="0"/>
    <n v="17.22"/>
    <x v="2"/>
    <n v="0.86600496277915628"/>
  </r>
  <r>
    <x v="3"/>
    <s v="S003"/>
    <s v="P0001"/>
    <x v="3"/>
    <x v="1"/>
    <n v="335"/>
    <n v="271"/>
    <n v="147"/>
    <n v="276.13"/>
    <n v="81.010000000000005"/>
    <x v="0"/>
    <x v="0"/>
    <x v="0"/>
    <n v="83.63"/>
    <x v="1"/>
    <n v="0.80895522388059704"/>
  </r>
  <r>
    <x v="3"/>
    <s v="S003"/>
    <s v="P0002"/>
    <x v="2"/>
    <x v="1"/>
    <n v="293"/>
    <n v="202"/>
    <n v="130"/>
    <n v="215.12"/>
    <n v="59.97"/>
    <x v="3"/>
    <x v="3"/>
    <x v="1"/>
    <n v="61.76"/>
    <x v="3"/>
    <n v="0.68941979522184305"/>
  </r>
  <r>
    <x v="3"/>
    <s v="S003"/>
    <s v="P0003"/>
    <x v="1"/>
    <x v="0"/>
    <n v="169"/>
    <n v="34"/>
    <n v="91"/>
    <n v="24.17"/>
    <n v="26.87"/>
    <x v="1"/>
    <x v="3"/>
    <x v="0"/>
    <n v="30.53"/>
    <x v="1"/>
    <n v="0.20118343195266272"/>
  </r>
  <r>
    <x v="3"/>
    <s v="S003"/>
    <s v="P0004"/>
    <x v="4"/>
    <x v="2"/>
    <n v="294"/>
    <n v="165"/>
    <n v="43"/>
    <n v="164.1"/>
    <n v="99.12"/>
    <x v="1"/>
    <x v="0"/>
    <x v="0"/>
    <n v="97.69"/>
    <x v="1"/>
    <n v="0.56122448979591832"/>
  </r>
  <r>
    <x v="3"/>
    <s v="S003"/>
    <s v="P0005"/>
    <x v="0"/>
    <x v="0"/>
    <n v="69"/>
    <n v="2"/>
    <n v="161"/>
    <n v="21.27"/>
    <n v="24.29"/>
    <x v="3"/>
    <x v="0"/>
    <x v="0"/>
    <n v="25.5"/>
    <x v="1"/>
    <n v="2.8985507246376812E-2"/>
  </r>
  <r>
    <x v="3"/>
    <s v="S003"/>
    <s v="P0006"/>
    <x v="2"/>
    <x v="3"/>
    <n v="328"/>
    <n v="308"/>
    <n v="113"/>
    <n v="323.67"/>
    <n v="18.48"/>
    <x v="2"/>
    <x v="0"/>
    <x v="1"/>
    <n v="17.760000000000002"/>
    <x v="0"/>
    <n v="0.93902439024390238"/>
  </r>
  <r>
    <x v="3"/>
    <s v="S003"/>
    <s v="P0007"/>
    <x v="1"/>
    <x v="0"/>
    <n v="173"/>
    <n v="76"/>
    <n v="157"/>
    <n v="75.540000000000006"/>
    <n v="54.73"/>
    <x v="1"/>
    <x v="3"/>
    <x v="1"/>
    <n v="52.32"/>
    <x v="3"/>
    <n v="0.43930635838150289"/>
  </r>
  <r>
    <x v="3"/>
    <s v="S003"/>
    <s v="P0008"/>
    <x v="1"/>
    <x v="3"/>
    <n v="108"/>
    <n v="91"/>
    <n v="129"/>
    <n v="95.55"/>
    <n v="59.61"/>
    <x v="3"/>
    <x v="0"/>
    <x v="1"/>
    <n v="57.85"/>
    <x v="1"/>
    <n v="0.84259259259259256"/>
  </r>
  <r>
    <x v="3"/>
    <s v="S003"/>
    <s v="P0009"/>
    <x v="3"/>
    <x v="2"/>
    <n v="494"/>
    <n v="113"/>
    <n v="84"/>
    <n v="121.8"/>
    <n v="14.64"/>
    <x v="0"/>
    <x v="2"/>
    <x v="1"/>
    <n v="12.8"/>
    <x v="3"/>
    <n v="0.22874493927125505"/>
  </r>
  <r>
    <x v="3"/>
    <s v="S003"/>
    <s v="P0010"/>
    <x v="2"/>
    <x v="3"/>
    <n v="366"/>
    <n v="274"/>
    <n v="102"/>
    <n v="268.60000000000002"/>
    <n v="63.63"/>
    <x v="4"/>
    <x v="2"/>
    <x v="1"/>
    <n v="62.96"/>
    <x v="2"/>
    <n v="0.74863387978142082"/>
  </r>
  <r>
    <x v="3"/>
    <s v="S003"/>
    <s v="P0011"/>
    <x v="1"/>
    <x v="3"/>
    <n v="441"/>
    <n v="116"/>
    <n v="52"/>
    <n v="128.01"/>
    <n v="95.99"/>
    <x v="1"/>
    <x v="1"/>
    <x v="0"/>
    <n v="95.78"/>
    <x v="0"/>
    <n v="0.26303854875283444"/>
  </r>
  <r>
    <x v="3"/>
    <s v="S003"/>
    <s v="P0012"/>
    <x v="2"/>
    <x v="0"/>
    <n v="181"/>
    <n v="5"/>
    <n v="37"/>
    <n v="18.13"/>
    <n v="75.41"/>
    <x v="3"/>
    <x v="0"/>
    <x v="1"/>
    <n v="75.03"/>
    <x v="1"/>
    <n v="2.7624309392265192E-2"/>
  </r>
  <r>
    <x v="3"/>
    <s v="S003"/>
    <s v="P0013"/>
    <x v="3"/>
    <x v="3"/>
    <n v="330"/>
    <n v="115"/>
    <n v="116"/>
    <n v="111.27"/>
    <n v="24.19"/>
    <x v="4"/>
    <x v="0"/>
    <x v="1"/>
    <n v="28.03"/>
    <x v="0"/>
    <n v="0.34848484848484851"/>
  </r>
  <r>
    <x v="3"/>
    <s v="S003"/>
    <s v="P0014"/>
    <x v="4"/>
    <x v="3"/>
    <n v="228"/>
    <n v="79"/>
    <n v="158"/>
    <n v="75.88"/>
    <n v="85.33"/>
    <x v="2"/>
    <x v="1"/>
    <x v="1"/>
    <n v="82.64"/>
    <x v="3"/>
    <n v="0.34649122807017546"/>
  </r>
  <r>
    <x v="3"/>
    <s v="S003"/>
    <s v="P0015"/>
    <x v="2"/>
    <x v="3"/>
    <n v="344"/>
    <n v="223"/>
    <n v="53"/>
    <n v="235.42"/>
    <n v="15.58"/>
    <x v="4"/>
    <x v="2"/>
    <x v="0"/>
    <n v="19.75"/>
    <x v="2"/>
    <n v="0.64825581395348841"/>
  </r>
  <r>
    <x v="3"/>
    <s v="S003"/>
    <s v="P0016"/>
    <x v="3"/>
    <x v="2"/>
    <n v="336"/>
    <n v="258"/>
    <n v="175"/>
    <n v="260.26"/>
    <n v="19.63"/>
    <x v="1"/>
    <x v="2"/>
    <x v="1"/>
    <n v="20.65"/>
    <x v="1"/>
    <n v="0.7678571428571429"/>
  </r>
  <r>
    <x v="3"/>
    <s v="S003"/>
    <s v="P0017"/>
    <x v="1"/>
    <x v="2"/>
    <n v="355"/>
    <n v="236"/>
    <n v="26"/>
    <n v="248.1"/>
    <n v="53.81"/>
    <x v="2"/>
    <x v="0"/>
    <x v="0"/>
    <n v="49.72"/>
    <x v="2"/>
    <n v="0.6647887323943662"/>
  </r>
  <r>
    <x v="3"/>
    <s v="S003"/>
    <s v="P0018"/>
    <x v="1"/>
    <x v="0"/>
    <n v="431"/>
    <n v="309"/>
    <n v="165"/>
    <n v="323.61"/>
    <n v="37.49"/>
    <x v="0"/>
    <x v="2"/>
    <x v="0"/>
    <n v="40.659999999999997"/>
    <x v="0"/>
    <n v="0.71693735498839906"/>
  </r>
  <r>
    <x v="3"/>
    <s v="S003"/>
    <s v="P0019"/>
    <x v="0"/>
    <x v="0"/>
    <n v="172"/>
    <n v="32"/>
    <n v="160"/>
    <n v="26.96"/>
    <n v="38.200000000000003"/>
    <x v="2"/>
    <x v="0"/>
    <x v="0"/>
    <n v="38.42"/>
    <x v="1"/>
    <n v="0.18604651162790697"/>
  </r>
  <r>
    <x v="3"/>
    <s v="S003"/>
    <s v="P0020"/>
    <x v="4"/>
    <x v="1"/>
    <n v="145"/>
    <n v="44"/>
    <n v="122"/>
    <n v="43.44"/>
    <n v="84.13"/>
    <x v="4"/>
    <x v="3"/>
    <x v="1"/>
    <n v="84.05"/>
    <x v="2"/>
    <n v="0.30344827586206896"/>
  </r>
  <r>
    <x v="3"/>
    <s v="S004"/>
    <s v="P0001"/>
    <x v="3"/>
    <x v="1"/>
    <n v="487"/>
    <n v="145"/>
    <n v="149"/>
    <n v="154.43"/>
    <n v="20.39"/>
    <x v="4"/>
    <x v="1"/>
    <x v="0"/>
    <n v="21.17"/>
    <x v="1"/>
    <n v="0.29774127310061604"/>
  </r>
  <r>
    <x v="3"/>
    <s v="S004"/>
    <s v="P0002"/>
    <x v="0"/>
    <x v="0"/>
    <n v="216"/>
    <n v="150"/>
    <n v="162"/>
    <n v="141.65"/>
    <n v="70.459999999999994"/>
    <x v="0"/>
    <x v="1"/>
    <x v="1"/>
    <n v="66.42"/>
    <x v="1"/>
    <n v="0.69444444444444442"/>
  </r>
  <r>
    <x v="3"/>
    <s v="S004"/>
    <s v="P0003"/>
    <x v="1"/>
    <x v="2"/>
    <n v="236"/>
    <n v="40"/>
    <n v="104"/>
    <n v="36.090000000000003"/>
    <n v="53.13"/>
    <x v="3"/>
    <x v="3"/>
    <x v="1"/>
    <n v="48.66"/>
    <x v="3"/>
    <n v="0.16949152542372881"/>
  </r>
  <r>
    <x v="3"/>
    <s v="S004"/>
    <s v="P0004"/>
    <x v="1"/>
    <x v="2"/>
    <n v="260"/>
    <n v="245"/>
    <n v="199"/>
    <n v="256.94"/>
    <n v="82"/>
    <x v="1"/>
    <x v="1"/>
    <x v="1"/>
    <n v="81.290000000000006"/>
    <x v="2"/>
    <n v="0.94230769230769229"/>
  </r>
  <r>
    <x v="3"/>
    <s v="S004"/>
    <s v="P0005"/>
    <x v="3"/>
    <x v="0"/>
    <n v="435"/>
    <n v="241"/>
    <n v="160"/>
    <n v="255.72"/>
    <n v="75.55"/>
    <x v="4"/>
    <x v="3"/>
    <x v="0"/>
    <n v="75.67"/>
    <x v="0"/>
    <n v="0.55402298850574716"/>
  </r>
  <r>
    <x v="3"/>
    <s v="S004"/>
    <s v="P0006"/>
    <x v="0"/>
    <x v="1"/>
    <n v="499"/>
    <n v="138"/>
    <n v="175"/>
    <n v="128.04"/>
    <n v="50.26"/>
    <x v="2"/>
    <x v="2"/>
    <x v="1"/>
    <n v="47.5"/>
    <x v="0"/>
    <n v="0.27655310621242485"/>
  </r>
  <r>
    <x v="3"/>
    <s v="S004"/>
    <s v="P0007"/>
    <x v="4"/>
    <x v="3"/>
    <n v="180"/>
    <n v="152"/>
    <n v="102"/>
    <n v="157.24"/>
    <n v="56.58"/>
    <x v="3"/>
    <x v="2"/>
    <x v="1"/>
    <n v="52.57"/>
    <x v="0"/>
    <n v="0.84444444444444444"/>
  </r>
  <r>
    <x v="3"/>
    <s v="S004"/>
    <s v="P0008"/>
    <x v="3"/>
    <x v="2"/>
    <n v="128"/>
    <n v="12"/>
    <n v="85"/>
    <n v="16.36"/>
    <n v="37.17"/>
    <x v="1"/>
    <x v="0"/>
    <x v="1"/>
    <n v="32.409999999999997"/>
    <x v="2"/>
    <n v="9.375E-2"/>
  </r>
  <r>
    <x v="3"/>
    <s v="S004"/>
    <s v="P0009"/>
    <x v="3"/>
    <x v="1"/>
    <n v="291"/>
    <n v="158"/>
    <n v="35"/>
    <n v="158.22999999999999"/>
    <n v="82.75"/>
    <x v="0"/>
    <x v="1"/>
    <x v="1"/>
    <n v="83.85"/>
    <x v="2"/>
    <n v="0.54295532646048106"/>
  </r>
  <r>
    <x v="3"/>
    <s v="S004"/>
    <s v="P0010"/>
    <x v="4"/>
    <x v="0"/>
    <n v="444"/>
    <n v="265"/>
    <n v="187"/>
    <n v="264.83"/>
    <n v="23.53"/>
    <x v="1"/>
    <x v="1"/>
    <x v="1"/>
    <n v="24.56"/>
    <x v="3"/>
    <n v="0.59684684684684686"/>
  </r>
  <r>
    <x v="3"/>
    <s v="S004"/>
    <s v="P0011"/>
    <x v="4"/>
    <x v="3"/>
    <n v="281"/>
    <n v="240"/>
    <n v="182"/>
    <n v="243.7"/>
    <n v="56.3"/>
    <x v="3"/>
    <x v="1"/>
    <x v="0"/>
    <n v="60.74"/>
    <x v="3"/>
    <n v="0.85409252669039148"/>
  </r>
  <r>
    <x v="3"/>
    <s v="S004"/>
    <s v="P0012"/>
    <x v="1"/>
    <x v="0"/>
    <n v="189"/>
    <n v="153"/>
    <n v="155"/>
    <n v="145.16999999999999"/>
    <n v="94.09"/>
    <x v="3"/>
    <x v="2"/>
    <x v="0"/>
    <n v="90.8"/>
    <x v="3"/>
    <n v="0.80952380952380953"/>
  </r>
  <r>
    <x v="3"/>
    <s v="S004"/>
    <s v="P0013"/>
    <x v="0"/>
    <x v="2"/>
    <n v="80"/>
    <n v="68"/>
    <n v="48"/>
    <n v="81.02"/>
    <n v="24.53"/>
    <x v="0"/>
    <x v="3"/>
    <x v="1"/>
    <n v="23.7"/>
    <x v="3"/>
    <n v="0.85"/>
  </r>
  <r>
    <x v="3"/>
    <s v="S004"/>
    <s v="P0014"/>
    <x v="3"/>
    <x v="2"/>
    <n v="314"/>
    <n v="302"/>
    <n v="42"/>
    <n v="300.24"/>
    <n v="70.33"/>
    <x v="0"/>
    <x v="3"/>
    <x v="0"/>
    <n v="72.22"/>
    <x v="0"/>
    <n v="0.96178343949044587"/>
  </r>
  <r>
    <x v="3"/>
    <s v="S004"/>
    <s v="P0015"/>
    <x v="4"/>
    <x v="2"/>
    <n v="167"/>
    <n v="70"/>
    <n v="42"/>
    <n v="69.66"/>
    <n v="79.680000000000007"/>
    <x v="3"/>
    <x v="0"/>
    <x v="1"/>
    <n v="77.12"/>
    <x v="3"/>
    <n v="0.41916167664670656"/>
  </r>
  <r>
    <x v="3"/>
    <s v="S004"/>
    <s v="P0016"/>
    <x v="0"/>
    <x v="2"/>
    <n v="129"/>
    <n v="92"/>
    <n v="73"/>
    <n v="89.92"/>
    <n v="25.69"/>
    <x v="2"/>
    <x v="1"/>
    <x v="0"/>
    <n v="27.17"/>
    <x v="0"/>
    <n v="0.71317829457364346"/>
  </r>
  <r>
    <x v="3"/>
    <s v="S004"/>
    <s v="P0017"/>
    <x v="4"/>
    <x v="3"/>
    <n v="425"/>
    <n v="275"/>
    <n v="160"/>
    <n v="266.14"/>
    <n v="25.04"/>
    <x v="3"/>
    <x v="1"/>
    <x v="1"/>
    <n v="29.56"/>
    <x v="1"/>
    <n v="0.6470588235294118"/>
  </r>
  <r>
    <x v="3"/>
    <s v="S004"/>
    <s v="P0018"/>
    <x v="0"/>
    <x v="3"/>
    <n v="103"/>
    <n v="3"/>
    <n v="34"/>
    <n v="20.62"/>
    <n v="56.02"/>
    <x v="4"/>
    <x v="1"/>
    <x v="0"/>
    <n v="59.96"/>
    <x v="2"/>
    <n v="2.9126213592233011E-2"/>
  </r>
  <r>
    <x v="3"/>
    <s v="S004"/>
    <s v="P0019"/>
    <x v="0"/>
    <x v="2"/>
    <n v="471"/>
    <n v="307"/>
    <n v="143"/>
    <n v="319.56"/>
    <n v="31.39"/>
    <x v="3"/>
    <x v="0"/>
    <x v="1"/>
    <n v="29.82"/>
    <x v="2"/>
    <n v="0.65180467091295113"/>
  </r>
  <r>
    <x v="3"/>
    <s v="S004"/>
    <s v="P0020"/>
    <x v="0"/>
    <x v="1"/>
    <n v="364"/>
    <n v="62"/>
    <n v="27"/>
    <n v="68.97"/>
    <n v="86.86"/>
    <x v="4"/>
    <x v="3"/>
    <x v="0"/>
    <n v="89.19"/>
    <x v="3"/>
    <n v="0.17032967032967034"/>
  </r>
  <r>
    <x v="3"/>
    <s v="S005"/>
    <s v="P0001"/>
    <x v="3"/>
    <x v="0"/>
    <n v="383"/>
    <n v="195"/>
    <n v="175"/>
    <n v="214.04"/>
    <n v="21.71"/>
    <x v="0"/>
    <x v="0"/>
    <x v="0"/>
    <n v="24.11"/>
    <x v="2"/>
    <n v="0.50913838120104438"/>
  </r>
  <r>
    <x v="3"/>
    <s v="S005"/>
    <s v="P0002"/>
    <x v="3"/>
    <x v="2"/>
    <n v="495"/>
    <n v="33"/>
    <n v="75"/>
    <n v="36.130000000000003"/>
    <n v="40.56"/>
    <x v="3"/>
    <x v="0"/>
    <x v="1"/>
    <n v="39.9"/>
    <x v="2"/>
    <n v="6.6666666666666666E-2"/>
  </r>
  <r>
    <x v="3"/>
    <s v="S005"/>
    <s v="P0003"/>
    <x v="1"/>
    <x v="1"/>
    <n v="439"/>
    <n v="263"/>
    <n v="107"/>
    <n v="266.77"/>
    <n v="29.2"/>
    <x v="3"/>
    <x v="3"/>
    <x v="0"/>
    <n v="30.66"/>
    <x v="2"/>
    <n v="0.59908883826879267"/>
  </r>
  <r>
    <x v="3"/>
    <s v="S005"/>
    <s v="P0004"/>
    <x v="1"/>
    <x v="2"/>
    <n v="101"/>
    <n v="83"/>
    <n v="94"/>
    <n v="97.81"/>
    <n v="82.18"/>
    <x v="0"/>
    <x v="2"/>
    <x v="1"/>
    <n v="78.430000000000007"/>
    <x v="1"/>
    <n v="0.82178217821782173"/>
  </r>
  <r>
    <x v="3"/>
    <s v="S005"/>
    <s v="P0005"/>
    <x v="1"/>
    <x v="1"/>
    <n v="292"/>
    <n v="78"/>
    <n v="25"/>
    <n v="85.65"/>
    <n v="45.85"/>
    <x v="4"/>
    <x v="1"/>
    <x v="1"/>
    <n v="43.84"/>
    <x v="0"/>
    <n v="0.26712328767123289"/>
  </r>
  <r>
    <x v="3"/>
    <s v="S005"/>
    <s v="P0006"/>
    <x v="4"/>
    <x v="2"/>
    <n v="466"/>
    <n v="118"/>
    <n v="75"/>
    <n v="133.87"/>
    <n v="42.08"/>
    <x v="1"/>
    <x v="1"/>
    <x v="0"/>
    <n v="37.49"/>
    <x v="1"/>
    <n v="0.25321888412017168"/>
  </r>
  <r>
    <x v="3"/>
    <s v="S005"/>
    <s v="P0007"/>
    <x v="4"/>
    <x v="0"/>
    <n v="175"/>
    <n v="147"/>
    <n v="130"/>
    <n v="141.44"/>
    <n v="51.22"/>
    <x v="1"/>
    <x v="2"/>
    <x v="1"/>
    <n v="54.22"/>
    <x v="3"/>
    <n v="0.84"/>
  </r>
  <r>
    <x v="3"/>
    <s v="S005"/>
    <s v="P0008"/>
    <x v="3"/>
    <x v="1"/>
    <n v="327"/>
    <n v="216"/>
    <n v="124"/>
    <n v="233.51"/>
    <n v="62.03"/>
    <x v="0"/>
    <x v="2"/>
    <x v="0"/>
    <n v="64.13"/>
    <x v="1"/>
    <n v="0.66055045871559637"/>
  </r>
  <r>
    <x v="3"/>
    <s v="S005"/>
    <s v="P0009"/>
    <x v="0"/>
    <x v="2"/>
    <n v="194"/>
    <n v="27"/>
    <n v="43"/>
    <n v="26.91"/>
    <n v="36.53"/>
    <x v="4"/>
    <x v="3"/>
    <x v="1"/>
    <n v="35.630000000000003"/>
    <x v="3"/>
    <n v="0.13917525773195877"/>
  </r>
  <r>
    <x v="3"/>
    <s v="S005"/>
    <s v="P0010"/>
    <x v="2"/>
    <x v="0"/>
    <n v="349"/>
    <n v="172"/>
    <n v="189"/>
    <n v="171.35"/>
    <n v="84.66"/>
    <x v="3"/>
    <x v="0"/>
    <x v="1"/>
    <n v="79.81"/>
    <x v="2"/>
    <n v="0.49283667621776506"/>
  </r>
  <r>
    <x v="3"/>
    <s v="S005"/>
    <s v="P0011"/>
    <x v="1"/>
    <x v="2"/>
    <n v="237"/>
    <n v="78"/>
    <n v="192"/>
    <n v="77.14"/>
    <n v="39.15"/>
    <x v="2"/>
    <x v="3"/>
    <x v="1"/>
    <n v="35.15"/>
    <x v="0"/>
    <n v="0.32911392405063289"/>
  </r>
  <r>
    <x v="3"/>
    <s v="S005"/>
    <s v="P0012"/>
    <x v="4"/>
    <x v="1"/>
    <n v="220"/>
    <n v="196"/>
    <n v="82"/>
    <n v="187.61"/>
    <n v="45.65"/>
    <x v="4"/>
    <x v="2"/>
    <x v="1"/>
    <n v="48.04"/>
    <x v="1"/>
    <n v="0.89090909090909087"/>
  </r>
  <r>
    <x v="3"/>
    <s v="S005"/>
    <s v="P0013"/>
    <x v="0"/>
    <x v="0"/>
    <n v="86"/>
    <n v="75"/>
    <n v="153"/>
    <n v="72.27"/>
    <n v="40.270000000000003"/>
    <x v="4"/>
    <x v="1"/>
    <x v="1"/>
    <n v="41.66"/>
    <x v="1"/>
    <n v="0.87209302325581395"/>
  </r>
  <r>
    <x v="3"/>
    <s v="S005"/>
    <s v="P0014"/>
    <x v="1"/>
    <x v="2"/>
    <n v="334"/>
    <n v="11"/>
    <n v="179"/>
    <n v="8.4499999999999993"/>
    <n v="82.99"/>
    <x v="4"/>
    <x v="3"/>
    <x v="1"/>
    <n v="87.85"/>
    <x v="3"/>
    <n v="3.2934131736526949E-2"/>
  </r>
  <r>
    <x v="3"/>
    <s v="S005"/>
    <s v="P0015"/>
    <x v="4"/>
    <x v="2"/>
    <n v="186"/>
    <n v="144"/>
    <n v="197"/>
    <n v="150.43"/>
    <n v="60.15"/>
    <x v="0"/>
    <x v="2"/>
    <x v="1"/>
    <n v="61.9"/>
    <x v="1"/>
    <n v="0.77419354838709675"/>
  </r>
  <r>
    <x v="3"/>
    <s v="S005"/>
    <s v="P0016"/>
    <x v="2"/>
    <x v="0"/>
    <n v="288"/>
    <n v="200"/>
    <n v="180"/>
    <n v="216.05"/>
    <n v="15.19"/>
    <x v="1"/>
    <x v="1"/>
    <x v="0"/>
    <n v="12.13"/>
    <x v="2"/>
    <n v="0.69444444444444442"/>
  </r>
  <r>
    <x v="3"/>
    <s v="S005"/>
    <s v="P0017"/>
    <x v="1"/>
    <x v="0"/>
    <n v="460"/>
    <n v="256"/>
    <n v="107"/>
    <n v="252.35"/>
    <n v="37.46"/>
    <x v="0"/>
    <x v="2"/>
    <x v="1"/>
    <n v="33.090000000000003"/>
    <x v="0"/>
    <n v="0.55652173913043479"/>
  </r>
  <r>
    <x v="3"/>
    <s v="S005"/>
    <s v="P0018"/>
    <x v="0"/>
    <x v="3"/>
    <n v="482"/>
    <n v="118"/>
    <n v="168"/>
    <n v="137.69999999999999"/>
    <n v="34.44"/>
    <x v="1"/>
    <x v="2"/>
    <x v="0"/>
    <n v="33.51"/>
    <x v="3"/>
    <n v="0.24481327800829875"/>
  </r>
  <r>
    <x v="3"/>
    <s v="S005"/>
    <s v="P0019"/>
    <x v="1"/>
    <x v="0"/>
    <n v="278"/>
    <n v="244"/>
    <n v="24"/>
    <n v="259.18"/>
    <n v="84.99"/>
    <x v="0"/>
    <x v="0"/>
    <x v="0"/>
    <n v="85.21"/>
    <x v="0"/>
    <n v="0.87769784172661869"/>
  </r>
  <r>
    <x v="3"/>
    <s v="S005"/>
    <s v="P0020"/>
    <x v="3"/>
    <x v="2"/>
    <n v="128"/>
    <n v="54"/>
    <n v="139"/>
    <n v="62.09"/>
    <n v="81.63"/>
    <x v="1"/>
    <x v="0"/>
    <x v="0"/>
    <n v="78.319999999999993"/>
    <x v="0"/>
    <n v="0.421875"/>
  </r>
  <r>
    <x v="4"/>
    <s v="S001"/>
    <s v="P0001"/>
    <x v="0"/>
    <x v="1"/>
    <n v="238"/>
    <n v="147"/>
    <n v="37"/>
    <n v="150.27000000000001"/>
    <n v="28.46"/>
    <x v="0"/>
    <x v="1"/>
    <x v="1"/>
    <n v="29.4"/>
    <x v="2"/>
    <n v="0.61764705882352944"/>
  </r>
  <r>
    <x v="4"/>
    <s v="S001"/>
    <s v="P0002"/>
    <x v="1"/>
    <x v="2"/>
    <n v="270"/>
    <n v="220"/>
    <n v="165"/>
    <n v="237"/>
    <n v="79.540000000000006"/>
    <x v="1"/>
    <x v="0"/>
    <x v="0"/>
    <n v="80.22"/>
    <x v="3"/>
    <n v="0.81481481481481477"/>
  </r>
  <r>
    <x v="4"/>
    <s v="S001"/>
    <s v="P0003"/>
    <x v="1"/>
    <x v="1"/>
    <n v="216"/>
    <n v="97"/>
    <n v="198"/>
    <n v="101.54"/>
    <n v="80.569999999999993"/>
    <x v="3"/>
    <x v="0"/>
    <x v="1"/>
    <n v="78.89"/>
    <x v="1"/>
    <n v="0.44907407407407407"/>
  </r>
  <r>
    <x v="4"/>
    <s v="S001"/>
    <s v="P0004"/>
    <x v="2"/>
    <x v="0"/>
    <n v="172"/>
    <n v="29"/>
    <n v="73"/>
    <n v="40.03"/>
    <n v="93.53"/>
    <x v="0"/>
    <x v="3"/>
    <x v="1"/>
    <n v="93.55"/>
    <x v="0"/>
    <n v="0.16860465116279069"/>
  </r>
  <r>
    <x v="4"/>
    <s v="S001"/>
    <s v="P0005"/>
    <x v="3"/>
    <x v="2"/>
    <n v="405"/>
    <n v="192"/>
    <n v="76"/>
    <n v="193.38"/>
    <n v="46.13"/>
    <x v="2"/>
    <x v="2"/>
    <x v="0"/>
    <n v="42.56"/>
    <x v="3"/>
    <n v="0.47407407407407409"/>
  </r>
  <r>
    <x v="4"/>
    <s v="S001"/>
    <s v="P0006"/>
    <x v="1"/>
    <x v="0"/>
    <n v="338"/>
    <n v="158"/>
    <n v="139"/>
    <n v="168.84"/>
    <n v="60.2"/>
    <x v="2"/>
    <x v="0"/>
    <x v="1"/>
    <n v="57.13"/>
    <x v="2"/>
    <n v="0.46745562130177515"/>
  </r>
  <r>
    <x v="4"/>
    <s v="S001"/>
    <s v="P0007"/>
    <x v="0"/>
    <x v="2"/>
    <n v="409"/>
    <n v="8"/>
    <n v="143"/>
    <n v="17.440000000000001"/>
    <n v="53.65"/>
    <x v="3"/>
    <x v="2"/>
    <x v="0"/>
    <n v="53.31"/>
    <x v="0"/>
    <n v="1.9559902200488997E-2"/>
  </r>
  <r>
    <x v="4"/>
    <s v="S001"/>
    <s v="P0008"/>
    <x v="2"/>
    <x v="2"/>
    <n v="102"/>
    <n v="42"/>
    <n v="23"/>
    <n v="35.11"/>
    <n v="59.2"/>
    <x v="3"/>
    <x v="3"/>
    <x v="0"/>
    <n v="58.19"/>
    <x v="2"/>
    <n v="0.41176470588235292"/>
  </r>
  <r>
    <x v="4"/>
    <s v="S001"/>
    <s v="P0009"/>
    <x v="3"/>
    <x v="3"/>
    <n v="433"/>
    <n v="5"/>
    <n v="185"/>
    <n v="6.6"/>
    <n v="98.03"/>
    <x v="3"/>
    <x v="0"/>
    <x v="0"/>
    <n v="93.57"/>
    <x v="3"/>
    <n v="1.1547344110854504E-2"/>
  </r>
  <r>
    <x v="4"/>
    <s v="S001"/>
    <s v="P0010"/>
    <x v="3"/>
    <x v="3"/>
    <n v="288"/>
    <n v="93"/>
    <n v="169"/>
    <n v="85.66"/>
    <n v="32.6"/>
    <x v="0"/>
    <x v="0"/>
    <x v="0"/>
    <n v="32.17"/>
    <x v="3"/>
    <n v="0.32291666666666669"/>
  </r>
  <r>
    <x v="4"/>
    <s v="S001"/>
    <s v="P0011"/>
    <x v="0"/>
    <x v="0"/>
    <n v="485"/>
    <n v="44"/>
    <n v="191"/>
    <n v="54.08"/>
    <n v="53.31"/>
    <x v="3"/>
    <x v="1"/>
    <x v="1"/>
    <n v="52.89"/>
    <x v="3"/>
    <n v="9.0721649484536079E-2"/>
  </r>
  <r>
    <x v="4"/>
    <s v="S001"/>
    <s v="P0012"/>
    <x v="2"/>
    <x v="2"/>
    <n v="414"/>
    <n v="78"/>
    <n v="91"/>
    <n v="76.67"/>
    <n v="93.96"/>
    <x v="0"/>
    <x v="1"/>
    <x v="0"/>
    <n v="98.29"/>
    <x v="1"/>
    <n v="0.18840579710144928"/>
  </r>
  <r>
    <x v="4"/>
    <s v="S001"/>
    <s v="P0013"/>
    <x v="1"/>
    <x v="3"/>
    <n v="370"/>
    <n v="57"/>
    <n v="24"/>
    <n v="55.73"/>
    <n v="83.3"/>
    <x v="2"/>
    <x v="3"/>
    <x v="0"/>
    <n v="82.46"/>
    <x v="1"/>
    <n v="0.15405405405405406"/>
  </r>
  <r>
    <x v="4"/>
    <s v="S001"/>
    <s v="P0014"/>
    <x v="1"/>
    <x v="0"/>
    <n v="233"/>
    <n v="161"/>
    <n v="171"/>
    <n v="155.79"/>
    <n v="12.66"/>
    <x v="4"/>
    <x v="0"/>
    <x v="1"/>
    <n v="12.38"/>
    <x v="0"/>
    <n v="0.69098712446351929"/>
  </r>
  <r>
    <x v="4"/>
    <s v="S001"/>
    <s v="P0015"/>
    <x v="1"/>
    <x v="2"/>
    <n v="272"/>
    <n v="172"/>
    <n v="139"/>
    <n v="183.33"/>
    <n v="55.77"/>
    <x v="0"/>
    <x v="0"/>
    <x v="1"/>
    <n v="59.56"/>
    <x v="2"/>
    <n v="0.63235294117647056"/>
  </r>
  <r>
    <x v="4"/>
    <s v="S001"/>
    <s v="P0016"/>
    <x v="0"/>
    <x v="3"/>
    <n v="189"/>
    <n v="132"/>
    <n v="196"/>
    <n v="143.24"/>
    <n v="30.15"/>
    <x v="4"/>
    <x v="0"/>
    <x v="0"/>
    <n v="26.17"/>
    <x v="0"/>
    <n v="0.69841269841269837"/>
  </r>
  <r>
    <x v="4"/>
    <s v="S001"/>
    <s v="P0017"/>
    <x v="2"/>
    <x v="3"/>
    <n v="120"/>
    <n v="46"/>
    <n v="156"/>
    <n v="53.06"/>
    <n v="63.75"/>
    <x v="3"/>
    <x v="3"/>
    <x v="0"/>
    <n v="60.02"/>
    <x v="2"/>
    <n v="0.38333333333333336"/>
  </r>
  <r>
    <x v="4"/>
    <s v="S001"/>
    <s v="P0018"/>
    <x v="0"/>
    <x v="1"/>
    <n v="248"/>
    <n v="17"/>
    <n v="200"/>
    <n v="17.8"/>
    <n v="97.51"/>
    <x v="1"/>
    <x v="3"/>
    <x v="0"/>
    <n v="97.99"/>
    <x v="3"/>
    <n v="6.8548387096774188E-2"/>
  </r>
  <r>
    <x v="4"/>
    <s v="S001"/>
    <s v="P0019"/>
    <x v="2"/>
    <x v="2"/>
    <n v="492"/>
    <n v="38"/>
    <n v="167"/>
    <n v="47.82"/>
    <n v="49.8"/>
    <x v="3"/>
    <x v="0"/>
    <x v="1"/>
    <n v="47.76"/>
    <x v="0"/>
    <n v="7.7235772357723581E-2"/>
  </r>
  <r>
    <x v="4"/>
    <s v="S001"/>
    <s v="P0020"/>
    <x v="1"/>
    <x v="2"/>
    <n v="355"/>
    <n v="11"/>
    <n v="26"/>
    <n v="4.5"/>
    <n v="33.299999999999997"/>
    <x v="1"/>
    <x v="0"/>
    <x v="0"/>
    <n v="37.71"/>
    <x v="2"/>
    <n v="3.0985915492957747E-2"/>
  </r>
  <r>
    <x v="4"/>
    <s v="S002"/>
    <s v="P0001"/>
    <x v="3"/>
    <x v="3"/>
    <n v="250"/>
    <n v="161"/>
    <n v="70"/>
    <n v="171.45"/>
    <n v="56.24"/>
    <x v="4"/>
    <x v="3"/>
    <x v="1"/>
    <n v="60.32"/>
    <x v="3"/>
    <n v="0.64400000000000002"/>
  </r>
  <r>
    <x v="4"/>
    <s v="S002"/>
    <s v="P0002"/>
    <x v="2"/>
    <x v="0"/>
    <n v="182"/>
    <n v="101"/>
    <n v="81"/>
    <n v="92.92"/>
    <n v="43.43"/>
    <x v="0"/>
    <x v="1"/>
    <x v="1"/>
    <n v="39.61"/>
    <x v="0"/>
    <n v="0.55494505494505497"/>
  </r>
  <r>
    <x v="4"/>
    <s v="S002"/>
    <s v="P0003"/>
    <x v="2"/>
    <x v="0"/>
    <n v="274"/>
    <n v="263"/>
    <n v="91"/>
    <n v="257.45999999999998"/>
    <n v="30.78"/>
    <x v="1"/>
    <x v="3"/>
    <x v="0"/>
    <n v="34.67"/>
    <x v="1"/>
    <n v="0.95985401459854014"/>
  </r>
  <r>
    <x v="4"/>
    <s v="S002"/>
    <s v="P0004"/>
    <x v="3"/>
    <x v="0"/>
    <n v="148"/>
    <n v="32"/>
    <n v="142"/>
    <n v="25.88"/>
    <n v="82.85"/>
    <x v="3"/>
    <x v="1"/>
    <x v="0"/>
    <n v="78.98"/>
    <x v="0"/>
    <n v="0.21621621621621623"/>
  </r>
  <r>
    <x v="4"/>
    <s v="S002"/>
    <s v="P0005"/>
    <x v="4"/>
    <x v="2"/>
    <n v="241"/>
    <n v="209"/>
    <n v="36"/>
    <n v="212.58"/>
    <n v="87.11"/>
    <x v="2"/>
    <x v="2"/>
    <x v="1"/>
    <n v="83.23"/>
    <x v="3"/>
    <n v="0.86721991701244816"/>
  </r>
  <r>
    <x v="4"/>
    <s v="S002"/>
    <s v="P0006"/>
    <x v="0"/>
    <x v="2"/>
    <n v="131"/>
    <n v="24"/>
    <n v="176"/>
    <n v="22.17"/>
    <n v="56.68"/>
    <x v="3"/>
    <x v="2"/>
    <x v="0"/>
    <n v="60.18"/>
    <x v="3"/>
    <n v="0.18320610687022901"/>
  </r>
  <r>
    <x v="4"/>
    <s v="S002"/>
    <s v="P0007"/>
    <x v="0"/>
    <x v="1"/>
    <n v="80"/>
    <n v="20"/>
    <n v="176"/>
    <n v="34.049999999999997"/>
    <n v="80.010000000000005"/>
    <x v="3"/>
    <x v="0"/>
    <x v="1"/>
    <n v="80.650000000000006"/>
    <x v="2"/>
    <n v="0.25"/>
  </r>
  <r>
    <x v="4"/>
    <s v="S002"/>
    <s v="P0008"/>
    <x v="4"/>
    <x v="3"/>
    <n v="483"/>
    <n v="148"/>
    <n v="111"/>
    <n v="145.1"/>
    <n v="41.24"/>
    <x v="2"/>
    <x v="2"/>
    <x v="1"/>
    <n v="44.9"/>
    <x v="0"/>
    <n v="0.30641821946169773"/>
  </r>
  <r>
    <x v="4"/>
    <s v="S002"/>
    <s v="P0009"/>
    <x v="1"/>
    <x v="2"/>
    <n v="228"/>
    <n v="100"/>
    <n v="183"/>
    <n v="109.92"/>
    <n v="96.96"/>
    <x v="3"/>
    <x v="2"/>
    <x v="1"/>
    <n v="98.62"/>
    <x v="3"/>
    <n v="0.43859649122807015"/>
  </r>
  <r>
    <x v="4"/>
    <s v="S002"/>
    <s v="P0010"/>
    <x v="1"/>
    <x v="3"/>
    <n v="202"/>
    <n v="129"/>
    <n v="55"/>
    <n v="119.12"/>
    <n v="87.69"/>
    <x v="0"/>
    <x v="3"/>
    <x v="0"/>
    <n v="83.87"/>
    <x v="0"/>
    <n v="0.63861386138613863"/>
  </r>
  <r>
    <x v="4"/>
    <s v="S002"/>
    <s v="P0011"/>
    <x v="3"/>
    <x v="3"/>
    <n v="440"/>
    <n v="257"/>
    <n v="41"/>
    <n v="266.89"/>
    <n v="74.45"/>
    <x v="3"/>
    <x v="2"/>
    <x v="1"/>
    <n v="76.989999999999995"/>
    <x v="3"/>
    <n v="0.58409090909090911"/>
  </r>
  <r>
    <x v="4"/>
    <s v="S002"/>
    <s v="P0012"/>
    <x v="0"/>
    <x v="2"/>
    <n v="264"/>
    <n v="262"/>
    <n v="29"/>
    <n v="269.58999999999997"/>
    <n v="53.28"/>
    <x v="3"/>
    <x v="0"/>
    <x v="0"/>
    <n v="56.77"/>
    <x v="1"/>
    <n v="0.99242424242424243"/>
  </r>
  <r>
    <x v="4"/>
    <s v="S002"/>
    <s v="P0013"/>
    <x v="1"/>
    <x v="3"/>
    <n v="296"/>
    <n v="200"/>
    <n v="20"/>
    <n v="214.64"/>
    <n v="25.38"/>
    <x v="4"/>
    <x v="2"/>
    <x v="1"/>
    <n v="25.99"/>
    <x v="3"/>
    <n v="0.67567567567567566"/>
  </r>
  <r>
    <x v="4"/>
    <s v="S002"/>
    <s v="P0014"/>
    <x v="0"/>
    <x v="2"/>
    <n v="201"/>
    <n v="56"/>
    <n v="187"/>
    <n v="69.260000000000005"/>
    <n v="23.84"/>
    <x v="1"/>
    <x v="1"/>
    <x v="1"/>
    <n v="19.73"/>
    <x v="3"/>
    <n v="0.27860696517412936"/>
  </r>
  <r>
    <x v="4"/>
    <s v="S002"/>
    <s v="P0015"/>
    <x v="4"/>
    <x v="1"/>
    <n v="70"/>
    <n v="24"/>
    <n v="28"/>
    <n v="17.010000000000002"/>
    <n v="52.21"/>
    <x v="0"/>
    <x v="2"/>
    <x v="0"/>
    <n v="56.17"/>
    <x v="1"/>
    <n v="0.34285714285714286"/>
  </r>
  <r>
    <x v="4"/>
    <s v="S002"/>
    <s v="P0016"/>
    <x v="3"/>
    <x v="2"/>
    <n v="176"/>
    <n v="105"/>
    <n v="174"/>
    <n v="106.4"/>
    <n v="79.34"/>
    <x v="0"/>
    <x v="2"/>
    <x v="0"/>
    <n v="79.16"/>
    <x v="3"/>
    <n v="0.59659090909090906"/>
  </r>
  <r>
    <x v="4"/>
    <s v="S002"/>
    <s v="P0017"/>
    <x v="0"/>
    <x v="3"/>
    <n v="399"/>
    <n v="294"/>
    <n v="100"/>
    <n v="302.77"/>
    <n v="13.13"/>
    <x v="4"/>
    <x v="3"/>
    <x v="0"/>
    <n v="9.4600000000000009"/>
    <x v="1"/>
    <n v="0.73684210526315785"/>
  </r>
  <r>
    <x v="4"/>
    <s v="S002"/>
    <s v="P0018"/>
    <x v="0"/>
    <x v="3"/>
    <n v="294"/>
    <n v="142"/>
    <n v="63"/>
    <n v="154.25"/>
    <n v="23.28"/>
    <x v="4"/>
    <x v="2"/>
    <x v="1"/>
    <n v="23.86"/>
    <x v="0"/>
    <n v="0.48299319727891155"/>
  </r>
  <r>
    <x v="4"/>
    <s v="S002"/>
    <s v="P0019"/>
    <x v="2"/>
    <x v="1"/>
    <n v="222"/>
    <n v="55"/>
    <n v="27"/>
    <n v="68.88"/>
    <n v="67.3"/>
    <x v="1"/>
    <x v="1"/>
    <x v="1"/>
    <n v="66.27"/>
    <x v="3"/>
    <n v="0.24774774774774774"/>
  </r>
  <r>
    <x v="4"/>
    <s v="S002"/>
    <s v="P0020"/>
    <x v="2"/>
    <x v="1"/>
    <n v="123"/>
    <n v="24"/>
    <n v="110"/>
    <n v="27.69"/>
    <n v="17.350000000000001"/>
    <x v="0"/>
    <x v="2"/>
    <x v="1"/>
    <n v="13.22"/>
    <x v="0"/>
    <n v="0.1951219512195122"/>
  </r>
  <r>
    <x v="4"/>
    <s v="S003"/>
    <s v="P0001"/>
    <x v="2"/>
    <x v="2"/>
    <n v="388"/>
    <n v="53"/>
    <n v="55"/>
    <n v="47.35"/>
    <n v="93.06"/>
    <x v="2"/>
    <x v="3"/>
    <x v="1"/>
    <n v="88.15"/>
    <x v="1"/>
    <n v="0.13659793814432988"/>
  </r>
  <r>
    <x v="4"/>
    <s v="S003"/>
    <s v="P0002"/>
    <x v="0"/>
    <x v="1"/>
    <n v="191"/>
    <n v="189"/>
    <n v="177"/>
    <n v="187.88"/>
    <n v="84.04"/>
    <x v="0"/>
    <x v="2"/>
    <x v="0"/>
    <n v="87.67"/>
    <x v="2"/>
    <n v="0.98952879581151831"/>
  </r>
  <r>
    <x v="4"/>
    <s v="S003"/>
    <s v="P0003"/>
    <x v="3"/>
    <x v="3"/>
    <n v="370"/>
    <n v="146"/>
    <n v="68"/>
    <n v="155.15"/>
    <n v="25.75"/>
    <x v="2"/>
    <x v="0"/>
    <x v="1"/>
    <n v="30.21"/>
    <x v="1"/>
    <n v="0.39459459459459462"/>
  </r>
  <r>
    <x v="4"/>
    <s v="S003"/>
    <s v="P0004"/>
    <x v="3"/>
    <x v="3"/>
    <n v="463"/>
    <n v="186"/>
    <n v="77"/>
    <n v="188.51"/>
    <n v="76.319999999999993"/>
    <x v="0"/>
    <x v="2"/>
    <x v="0"/>
    <n v="79.040000000000006"/>
    <x v="1"/>
    <n v="0.40172786177105829"/>
  </r>
  <r>
    <x v="4"/>
    <s v="S003"/>
    <s v="P0005"/>
    <x v="1"/>
    <x v="2"/>
    <n v="140"/>
    <n v="77"/>
    <n v="149"/>
    <n v="90.49"/>
    <n v="49.52"/>
    <x v="0"/>
    <x v="3"/>
    <x v="1"/>
    <n v="54.31"/>
    <x v="3"/>
    <n v="0.55000000000000004"/>
  </r>
  <r>
    <x v="4"/>
    <s v="S003"/>
    <s v="P0006"/>
    <x v="3"/>
    <x v="3"/>
    <n v="314"/>
    <n v="225"/>
    <n v="135"/>
    <n v="220.06"/>
    <n v="93.81"/>
    <x v="2"/>
    <x v="3"/>
    <x v="0"/>
    <n v="89.3"/>
    <x v="0"/>
    <n v="0.71656050955414008"/>
  </r>
  <r>
    <x v="4"/>
    <s v="S003"/>
    <s v="P0007"/>
    <x v="4"/>
    <x v="3"/>
    <n v="79"/>
    <n v="66"/>
    <n v="69"/>
    <n v="74.14"/>
    <n v="76.7"/>
    <x v="1"/>
    <x v="0"/>
    <x v="1"/>
    <n v="73.33"/>
    <x v="1"/>
    <n v="0.83544303797468356"/>
  </r>
  <r>
    <x v="4"/>
    <s v="S003"/>
    <s v="P0008"/>
    <x v="2"/>
    <x v="1"/>
    <n v="411"/>
    <n v="35"/>
    <n v="83"/>
    <n v="35.46"/>
    <n v="24.28"/>
    <x v="4"/>
    <x v="3"/>
    <x v="1"/>
    <n v="21.81"/>
    <x v="2"/>
    <n v="8.5158150851581502E-2"/>
  </r>
  <r>
    <x v="4"/>
    <s v="S003"/>
    <s v="P0009"/>
    <x v="2"/>
    <x v="2"/>
    <n v="117"/>
    <n v="1"/>
    <n v="64"/>
    <n v="7.16"/>
    <n v="13.87"/>
    <x v="4"/>
    <x v="0"/>
    <x v="1"/>
    <n v="14.32"/>
    <x v="3"/>
    <n v="8.5470085470085479E-3"/>
  </r>
  <r>
    <x v="4"/>
    <s v="S003"/>
    <s v="P0010"/>
    <x v="4"/>
    <x v="2"/>
    <n v="109"/>
    <n v="95"/>
    <n v="73"/>
    <n v="90.43"/>
    <n v="14.93"/>
    <x v="1"/>
    <x v="1"/>
    <x v="0"/>
    <n v="17.34"/>
    <x v="2"/>
    <n v="0.87155963302752293"/>
  </r>
  <r>
    <x v="4"/>
    <s v="S003"/>
    <s v="P0011"/>
    <x v="2"/>
    <x v="3"/>
    <n v="438"/>
    <n v="255"/>
    <n v="85"/>
    <n v="269.91000000000003"/>
    <n v="22.22"/>
    <x v="1"/>
    <x v="3"/>
    <x v="1"/>
    <n v="25.17"/>
    <x v="3"/>
    <n v="0.5821917808219178"/>
  </r>
  <r>
    <x v="4"/>
    <s v="S003"/>
    <s v="P0012"/>
    <x v="1"/>
    <x v="3"/>
    <n v="480"/>
    <n v="132"/>
    <n v="174"/>
    <n v="122.08"/>
    <n v="57.69"/>
    <x v="3"/>
    <x v="2"/>
    <x v="0"/>
    <n v="56.53"/>
    <x v="2"/>
    <n v="0.27500000000000002"/>
  </r>
  <r>
    <x v="4"/>
    <s v="S003"/>
    <s v="P0013"/>
    <x v="3"/>
    <x v="3"/>
    <n v="284"/>
    <n v="234"/>
    <n v="168"/>
    <n v="232.6"/>
    <n v="80.36"/>
    <x v="4"/>
    <x v="0"/>
    <x v="1"/>
    <n v="78.62"/>
    <x v="2"/>
    <n v="0.823943661971831"/>
  </r>
  <r>
    <x v="4"/>
    <s v="S003"/>
    <s v="P0014"/>
    <x v="3"/>
    <x v="1"/>
    <n v="444"/>
    <n v="42"/>
    <n v="86"/>
    <n v="44.15"/>
    <n v="40.6"/>
    <x v="1"/>
    <x v="0"/>
    <x v="1"/>
    <n v="37.42"/>
    <x v="2"/>
    <n v="9.45945945945946E-2"/>
  </r>
  <r>
    <x v="4"/>
    <s v="S003"/>
    <s v="P0015"/>
    <x v="3"/>
    <x v="1"/>
    <n v="278"/>
    <n v="25"/>
    <n v="81"/>
    <n v="28.28"/>
    <n v="86.8"/>
    <x v="2"/>
    <x v="3"/>
    <x v="0"/>
    <n v="90.41"/>
    <x v="0"/>
    <n v="8.9928057553956831E-2"/>
  </r>
  <r>
    <x v="4"/>
    <s v="S003"/>
    <s v="P0016"/>
    <x v="1"/>
    <x v="0"/>
    <n v="202"/>
    <n v="30"/>
    <n v="195"/>
    <n v="29.93"/>
    <n v="30.33"/>
    <x v="4"/>
    <x v="3"/>
    <x v="1"/>
    <n v="27.66"/>
    <x v="0"/>
    <n v="0.14851485148514851"/>
  </r>
  <r>
    <x v="4"/>
    <s v="S003"/>
    <s v="P0017"/>
    <x v="1"/>
    <x v="3"/>
    <n v="192"/>
    <n v="28"/>
    <n v="175"/>
    <n v="18.54"/>
    <n v="29.03"/>
    <x v="2"/>
    <x v="3"/>
    <x v="0"/>
    <n v="25.22"/>
    <x v="1"/>
    <n v="0.14583333333333334"/>
  </r>
  <r>
    <x v="4"/>
    <s v="S003"/>
    <s v="P0018"/>
    <x v="0"/>
    <x v="1"/>
    <n v="168"/>
    <n v="38"/>
    <n v="74"/>
    <n v="41.71"/>
    <n v="97.97"/>
    <x v="4"/>
    <x v="2"/>
    <x v="0"/>
    <n v="102.22"/>
    <x v="3"/>
    <n v="0.22619047619047619"/>
  </r>
  <r>
    <x v="4"/>
    <s v="S003"/>
    <s v="P0019"/>
    <x v="1"/>
    <x v="2"/>
    <n v="308"/>
    <n v="149"/>
    <n v="35"/>
    <n v="167.46"/>
    <n v="31.18"/>
    <x v="2"/>
    <x v="1"/>
    <x v="1"/>
    <n v="34.200000000000003"/>
    <x v="2"/>
    <n v="0.48376623376623379"/>
  </r>
  <r>
    <x v="4"/>
    <s v="S003"/>
    <s v="P0020"/>
    <x v="0"/>
    <x v="0"/>
    <n v="286"/>
    <n v="192"/>
    <n v="70"/>
    <n v="205.67"/>
    <n v="65.34"/>
    <x v="1"/>
    <x v="0"/>
    <x v="0"/>
    <n v="63.05"/>
    <x v="0"/>
    <n v="0.67132867132867136"/>
  </r>
  <r>
    <x v="4"/>
    <s v="S004"/>
    <s v="P0001"/>
    <x v="1"/>
    <x v="0"/>
    <n v="201"/>
    <n v="198"/>
    <n v="103"/>
    <n v="212.56"/>
    <n v="57.58"/>
    <x v="1"/>
    <x v="2"/>
    <x v="0"/>
    <n v="58.98"/>
    <x v="1"/>
    <n v="0.9850746268656716"/>
  </r>
  <r>
    <x v="4"/>
    <s v="S004"/>
    <s v="P0002"/>
    <x v="2"/>
    <x v="0"/>
    <n v="135"/>
    <n v="83"/>
    <n v="49"/>
    <n v="88.88"/>
    <n v="54.02"/>
    <x v="0"/>
    <x v="0"/>
    <x v="0"/>
    <n v="58.22"/>
    <x v="2"/>
    <n v="0.61481481481481481"/>
  </r>
  <r>
    <x v="4"/>
    <s v="S004"/>
    <s v="P0003"/>
    <x v="3"/>
    <x v="0"/>
    <n v="258"/>
    <n v="97"/>
    <n v="172"/>
    <n v="102.13"/>
    <n v="69.959999999999994"/>
    <x v="1"/>
    <x v="3"/>
    <x v="1"/>
    <n v="70.94"/>
    <x v="0"/>
    <n v="0.37596899224806202"/>
  </r>
  <r>
    <x v="4"/>
    <s v="S004"/>
    <s v="P0004"/>
    <x v="1"/>
    <x v="0"/>
    <n v="357"/>
    <n v="173"/>
    <n v="97"/>
    <n v="190.9"/>
    <n v="51.07"/>
    <x v="3"/>
    <x v="1"/>
    <x v="1"/>
    <n v="50.35"/>
    <x v="3"/>
    <n v="0.484593837535014"/>
  </r>
  <r>
    <x v="4"/>
    <s v="S004"/>
    <s v="P0005"/>
    <x v="2"/>
    <x v="3"/>
    <n v="387"/>
    <n v="69"/>
    <n v="199"/>
    <n v="87.46"/>
    <n v="99.12"/>
    <x v="0"/>
    <x v="0"/>
    <x v="1"/>
    <n v="95.19"/>
    <x v="0"/>
    <n v="0.17829457364341086"/>
  </r>
  <r>
    <x v="4"/>
    <s v="S004"/>
    <s v="P0006"/>
    <x v="3"/>
    <x v="3"/>
    <n v="378"/>
    <n v="256"/>
    <n v="169"/>
    <n v="271.82"/>
    <n v="77.59"/>
    <x v="4"/>
    <x v="1"/>
    <x v="0"/>
    <n v="79.28"/>
    <x v="0"/>
    <n v="0.67724867724867721"/>
  </r>
  <r>
    <x v="4"/>
    <s v="S004"/>
    <s v="P0007"/>
    <x v="2"/>
    <x v="0"/>
    <n v="249"/>
    <n v="246"/>
    <n v="124"/>
    <n v="246.58"/>
    <n v="87.6"/>
    <x v="1"/>
    <x v="3"/>
    <x v="0"/>
    <n v="92.28"/>
    <x v="1"/>
    <n v="0.98795180722891562"/>
  </r>
  <r>
    <x v="4"/>
    <s v="S004"/>
    <s v="P0008"/>
    <x v="4"/>
    <x v="1"/>
    <n v="448"/>
    <n v="332"/>
    <n v="184"/>
    <n v="343.03"/>
    <n v="43.67"/>
    <x v="4"/>
    <x v="2"/>
    <x v="1"/>
    <n v="40.57"/>
    <x v="1"/>
    <n v="0.7410714285714286"/>
  </r>
  <r>
    <x v="4"/>
    <s v="S004"/>
    <s v="P0009"/>
    <x v="1"/>
    <x v="0"/>
    <n v="348"/>
    <n v="325"/>
    <n v="97"/>
    <n v="321.14999999999998"/>
    <n v="89.52"/>
    <x v="2"/>
    <x v="0"/>
    <x v="0"/>
    <n v="87.3"/>
    <x v="1"/>
    <n v="0.93390804597701149"/>
  </r>
  <r>
    <x v="4"/>
    <s v="S004"/>
    <s v="P0010"/>
    <x v="0"/>
    <x v="3"/>
    <n v="412"/>
    <n v="53"/>
    <n v="75"/>
    <n v="72.67"/>
    <n v="12.89"/>
    <x v="2"/>
    <x v="3"/>
    <x v="1"/>
    <n v="13.92"/>
    <x v="0"/>
    <n v="0.12864077669902912"/>
  </r>
  <r>
    <x v="4"/>
    <s v="S004"/>
    <s v="P0011"/>
    <x v="0"/>
    <x v="2"/>
    <n v="344"/>
    <n v="17"/>
    <n v="30"/>
    <n v="26.69"/>
    <n v="92.7"/>
    <x v="3"/>
    <x v="1"/>
    <x v="0"/>
    <n v="97.29"/>
    <x v="0"/>
    <n v="4.9418604651162788E-2"/>
  </r>
  <r>
    <x v="4"/>
    <s v="S004"/>
    <s v="P0012"/>
    <x v="1"/>
    <x v="2"/>
    <n v="475"/>
    <n v="223"/>
    <n v="172"/>
    <n v="241.25"/>
    <n v="31.47"/>
    <x v="0"/>
    <x v="3"/>
    <x v="0"/>
    <n v="29.24"/>
    <x v="3"/>
    <n v="0.46947368421052632"/>
  </r>
  <r>
    <x v="4"/>
    <s v="S004"/>
    <s v="P0013"/>
    <x v="2"/>
    <x v="2"/>
    <n v="400"/>
    <n v="95"/>
    <n v="86"/>
    <n v="113.09"/>
    <n v="89.52"/>
    <x v="2"/>
    <x v="2"/>
    <x v="0"/>
    <n v="91.76"/>
    <x v="0"/>
    <n v="0.23749999999999999"/>
  </r>
  <r>
    <x v="4"/>
    <s v="S004"/>
    <s v="P0014"/>
    <x v="1"/>
    <x v="0"/>
    <n v="424"/>
    <n v="225"/>
    <n v="37"/>
    <n v="220.89"/>
    <n v="54.44"/>
    <x v="0"/>
    <x v="1"/>
    <x v="0"/>
    <n v="57.58"/>
    <x v="2"/>
    <n v="0.53066037735849059"/>
  </r>
  <r>
    <x v="4"/>
    <s v="S004"/>
    <s v="P0015"/>
    <x v="0"/>
    <x v="3"/>
    <n v="441"/>
    <n v="216"/>
    <n v="118"/>
    <n v="207.56"/>
    <n v="21.75"/>
    <x v="4"/>
    <x v="1"/>
    <x v="0"/>
    <n v="21.05"/>
    <x v="2"/>
    <n v="0.48979591836734693"/>
  </r>
  <r>
    <x v="4"/>
    <s v="S004"/>
    <s v="P0016"/>
    <x v="2"/>
    <x v="0"/>
    <n v="421"/>
    <n v="324"/>
    <n v="27"/>
    <n v="318.43"/>
    <n v="60.8"/>
    <x v="2"/>
    <x v="0"/>
    <x v="1"/>
    <n v="58.01"/>
    <x v="3"/>
    <n v="0.76959619952494063"/>
  </r>
  <r>
    <x v="4"/>
    <s v="S004"/>
    <s v="P0017"/>
    <x v="1"/>
    <x v="1"/>
    <n v="278"/>
    <n v="75"/>
    <n v="56"/>
    <n v="90.62"/>
    <n v="60.17"/>
    <x v="3"/>
    <x v="1"/>
    <x v="0"/>
    <n v="55.33"/>
    <x v="1"/>
    <n v="0.26978417266187049"/>
  </r>
  <r>
    <x v="4"/>
    <s v="S004"/>
    <s v="P0018"/>
    <x v="2"/>
    <x v="2"/>
    <n v="319"/>
    <n v="158"/>
    <n v="176"/>
    <n v="170.15"/>
    <n v="19.170000000000002"/>
    <x v="4"/>
    <x v="0"/>
    <x v="1"/>
    <n v="20.52"/>
    <x v="2"/>
    <n v="0.4952978056426332"/>
  </r>
  <r>
    <x v="4"/>
    <s v="S004"/>
    <s v="P0019"/>
    <x v="2"/>
    <x v="2"/>
    <n v="353"/>
    <n v="55"/>
    <n v="35"/>
    <n v="56.6"/>
    <n v="45.92"/>
    <x v="0"/>
    <x v="3"/>
    <x v="0"/>
    <n v="46.95"/>
    <x v="2"/>
    <n v="0.15580736543909349"/>
  </r>
  <r>
    <x v="4"/>
    <s v="S004"/>
    <s v="P0020"/>
    <x v="1"/>
    <x v="1"/>
    <n v="149"/>
    <n v="131"/>
    <n v="42"/>
    <n v="147.54"/>
    <n v="23.85"/>
    <x v="3"/>
    <x v="2"/>
    <x v="0"/>
    <n v="19.43"/>
    <x v="0"/>
    <n v="0.87919463087248317"/>
  </r>
  <r>
    <x v="4"/>
    <s v="S005"/>
    <s v="P0001"/>
    <x v="1"/>
    <x v="1"/>
    <n v="371"/>
    <n v="74"/>
    <n v="115"/>
    <n v="93.27"/>
    <n v="40.47"/>
    <x v="0"/>
    <x v="2"/>
    <x v="0"/>
    <n v="40.299999999999997"/>
    <x v="3"/>
    <n v="0.19946091644204852"/>
  </r>
  <r>
    <x v="4"/>
    <s v="S005"/>
    <s v="P0002"/>
    <x v="1"/>
    <x v="2"/>
    <n v="98"/>
    <n v="59"/>
    <n v="94"/>
    <n v="62.06"/>
    <n v="26.25"/>
    <x v="4"/>
    <x v="3"/>
    <x v="1"/>
    <n v="28.27"/>
    <x v="0"/>
    <n v="0.60204081632653061"/>
  </r>
  <r>
    <x v="4"/>
    <s v="S005"/>
    <s v="P0003"/>
    <x v="2"/>
    <x v="1"/>
    <n v="318"/>
    <n v="150"/>
    <n v="171"/>
    <n v="145.30000000000001"/>
    <n v="82.08"/>
    <x v="3"/>
    <x v="0"/>
    <x v="0"/>
    <n v="82.7"/>
    <x v="3"/>
    <n v="0.47169811320754718"/>
  </r>
  <r>
    <x v="4"/>
    <s v="S005"/>
    <s v="P0004"/>
    <x v="0"/>
    <x v="0"/>
    <n v="200"/>
    <n v="135"/>
    <n v="192"/>
    <n v="145.91"/>
    <n v="50.59"/>
    <x v="4"/>
    <x v="1"/>
    <x v="0"/>
    <n v="54.05"/>
    <x v="3"/>
    <n v="0.67500000000000004"/>
  </r>
  <r>
    <x v="4"/>
    <s v="S005"/>
    <s v="P0005"/>
    <x v="1"/>
    <x v="2"/>
    <n v="299"/>
    <n v="79"/>
    <n v="117"/>
    <n v="97.08"/>
    <n v="49.08"/>
    <x v="3"/>
    <x v="0"/>
    <x v="0"/>
    <n v="45.5"/>
    <x v="3"/>
    <n v="0.26421404682274247"/>
  </r>
  <r>
    <x v="4"/>
    <s v="S005"/>
    <s v="P0006"/>
    <x v="0"/>
    <x v="1"/>
    <n v="392"/>
    <n v="62"/>
    <n v="125"/>
    <n v="68.41"/>
    <n v="12.38"/>
    <x v="2"/>
    <x v="0"/>
    <x v="1"/>
    <n v="16.239999999999998"/>
    <x v="1"/>
    <n v="0.15816326530612246"/>
  </r>
  <r>
    <x v="4"/>
    <s v="S005"/>
    <s v="P0007"/>
    <x v="4"/>
    <x v="3"/>
    <n v="399"/>
    <n v="130"/>
    <n v="77"/>
    <n v="123.53"/>
    <n v="49.02"/>
    <x v="0"/>
    <x v="2"/>
    <x v="0"/>
    <n v="53.33"/>
    <x v="0"/>
    <n v="0.32581453634085211"/>
  </r>
  <r>
    <x v="4"/>
    <s v="S005"/>
    <s v="P0008"/>
    <x v="1"/>
    <x v="0"/>
    <n v="192"/>
    <n v="74"/>
    <n v="116"/>
    <n v="66.44"/>
    <n v="27.08"/>
    <x v="1"/>
    <x v="1"/>
    <x v="1"/>
    <n v="31.34"/>
    <x v="1"/>
    <n v="0.38541666666666669"/>
  </r>
  <r>
    <x v="4"/>
    <s v="S005"/>
    <s v="P0009"/>
    <x v="4"/>
    <x v="2"/>
    <n v="149"/>
    <n v="16"/>
    <n v="23"/>
    <n v="34.950000000000003"/>
    <n v="59.13"/>
    <x v="1"/>
    <x v="0"/>
    <x v="0"/>
    <n v="59.09"/>
    <x v="1"/>
    <n v="0.10738255033557047"/>
  </r>
  <r>
    <x v="4"/>
    <s v="S005"/>
    <s v="P0010"/>
    <x v="3"/>
    <x v="0"/>
    <n v="406"/>
    <n v="342"/>
    <n v="195"/>
    <n v="353.01"/>
    <n v="43.1"/>
    <x v="3"/>
    <x v="2"/>
    <x v="1"/>
    <n v="42.19"/>
    <x v="1"/>
    <n v="0.8423645320197044"/>
  </r>
  <r>
    <x v="4"/>
    <s v="S005"/>
    <s v="P0011"/>
    <x v="2"/>
    <x v="1"/>
    <n v="91"/>
    <n v="48"/>
    <n v="155"/>
    <n v="51.37"/>
    <n v="13.33"/>
    <x v="3"/>
    <x v="2"/>
    <x v="0"/>
    <n v="13.1"/>
    <x v="0"/>
    <n v="0.52747252747252749"/>
  </r>
  <r>
    <x v="4"/>
    <s v="S005"/>
    <s v="P0012"/>
    <x v="4"/>
    <x v="3"/>
    <n v="228"/>
    <n v="224"/>
    <n v="147"/>
    <n v="218.16"/>
    <n v="98.66"/>
    <x v="1"/>
    <x v="3"/>
    <x v="0"/>
    <n v="103.3"/>
    <x v="3"/>
    <n v="0.98245614035087714"/>
  </r>
  <r>
    <x v="4"/>
    <s v="S005"/>
    <s v="P0013"/>
    <x v="2"/>
    <x v="1"/>
    <n v="68"/>
    <n v="64"/>
    <n v="54"/>
    <n v="71.81"/>
    <n v="39.799999999999997"/>
    <x v="4"/>
    <x v="0"/>
    <x v="1"/>
    <n v="35.380000000000003"/>
    <x v="1"/>
    <n v="0.94117647058823528"/>
  </r>
  <r>
    <x v="4"/>
    <s v="S005"/>
    <s v="P0014"/>
    <x v="1"/>
    <x v="0"/>
    <n v="358"/>
    <n v="322"/>
    <n v="36"/>
    <n v="316.68"/>
    <n v="86.26"/>
    <x v="1"/>
    <x v="0"/>
    <x v="0"/>
    <n v="85.97"/>
    <x v="1"/>
    <n v="0.8994413407821229"/>
  </r>
  <r>
    <x v="4"/>
    <s v="S005"/>
    <s v="P0015"/>
    <x v="1"/>
    <x v="1"/>
    <n v="361"/>
    <n v="264"/>
    <n v="75"/>
    <n v="258.32"/>
    <n v="85.81"/>
    <x v="1"/>
    <x v="3"/>
    <x v="1"/>
    <n v="89.25"/>
    <x v="1"/>
    <n v="0.73130193905817176"/>
  </r>
  <r>
    <x v="4"/>
    <s v="S005"/>
    <s v="P0016"/>
    <x v="2"/>
    <x v="2"/>
    <n v="371"/>
    <n v="343"/>
    <n v="98"/>
    <n v="350.28"/>
    <n v="58.21"/>
    <x v="0"/>
    <x v="0"/>
    <x v="0"/>
    <n v="57.49"/>
    <x v="3"/>
    <n v="0.92452830188679247"/>
  </r>
  <r>
    <x v="4"/>
    <s v="S005"/>
    <s v="P0017"/>
    <x v="0"/>
    <x v="3"/>
    <n v="231"/>
    <n v="15"/>
    <n v="107"/>
    <n v="26.67"/>
    <n v="74.42"/>
    <x v="3"/>
    <x v="2"/>
    <x v="0"/>
    <n v="73.86"/>
    <x v="1"/>
    <n v="6.4935064935064929E-2"/>
  </r>
  <r>
    <x v="4"/>
    <s v="S005"/>
    <s v="P0018"/>
    <x v="1"/>
    <x v="3"/>
    <n v="269"/>
    <n v="90"/>
    <n v="109"/>
    <n v="105.45"/>
    <n v="53.06"/>
    <x v="1"/>
    <x v="1"/>
    <x v="0"/>
    <n v="56"/>
    <x v="1"/>
    <n v="0.33457249070631973"/>
  </r>
  <r>
    <x v="4"/>
    <s v="S005"/>
    <s v="P0019"/>
    <x v="4"/>
    <x v="1"/>
    <n v="444"/>
    <n v="143"/>
    <n v="196"/>
    <n v="153"/>
    <n v="61.9"/>
    <x v="4"/>
    <x v="3"/>
    <x v="0"/>
    <n v="60.14"/>
    <x v="0"/>
    <n v="0.32207207207207206"/>
  </r>
  <r>
    <x v="4"/>
    <s v="S005"/>
    <s v="P0020"/>
    <x v="0"/>
    <x v="1"/>
    <n v="243"/>
    <n v="36"/>
    <n v="107"/>
    <n v="47.12"/>
    <n v="53.65"/>
    <x v="0"/>
    <x v="2"/>
    <x v="1"/>
    <n v="49.72"/>
    <x v="2"/>
    <n v="0.1481481481481481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2-01-01T00:00:00"/>
    <s v="S001"/>
    <s v="P0001"/>
    <x v="0"/>
    <s v="North"/>
    <n v="231"/>
    <n v="127"/>
    <n v="55"/>
    <n v="135.47"/>
    <n v="33.5"/>
    <n v="20"/>
    <s v="Rainy"/>
    <n v="0"/>
    <n v="29.69"/>
    <s v="Autumn"/>
    <n v="0.54978354978354982"/>
    <n v="3.8099999999999987"/>
  </r>
  <r>
    <d v="2022-01-01T00:00:00"/>
    <s v="S001"/>
    <s v="P0002"/>
    <x v="1"/>
    <s v="South"/>
    <n v="204"/>
    <n v="150"/>
    <n v="66"/>
    <n v="144.04"/>
    <n v="63.01"/>
    <n v="20"/>
    <s v="Sunny"/>
    <n v="0"/>
    <n v="66.16"/>
    <s v="Autumn"/>
    <n v="0.73529411764705888"/>
    <n v="-3.1499999999999986"/>
  </r>
  <r>
    <d v="2022-01-01T00:00:00"/>
    <s v="S001"/>
    <s v="P0003"/>
    <x v="1"/>
    <s v="West"/>
    <n v="102"/>
    <n v="65"/>
    <n v="51"/>
    <n v="74.02"/>
    <n v="27.99"/>
    <n v="10"/>
    <s v="Sunny"/>
    <n v="1"/>
    <n v="31.32"/>
    <s v="Summer"/>
    <n v="0.63725490196078427"/>
    <n v="-3.3300000000000018"/>
  </r>
  <r>
    <d v="2022-01-01T00:00:00"/>
    <s v="S001"/>
    <s v="P0004"/>
    <x v="1"/>
    <s v="North"/>
    <n v="469"/>
    <n v="61"/>
    <n v="164"/>
    <n v="62.18"/>
    <n v="32.72"/>
    <n v="10"/>
    <s v="Cloudy"/>
    <n v="1"/>
    <n v="34.74"/>
    <s v="Autumn"/>
    <n v="0.13006396588486141"/>
    <n v="-2.0200000000000031"/>
  </r>
  <r>
    <d v="2022-01-01T00:00:00"/>
    <s v="S001"/>
    <s v="P0005"/>
    <x v="2"/>
    <s v="East"/>
    <n v="166"/>
    <n v="14"/>
    <n v="135"/>
    <n v="9.26"/>
    <n v="73.64"/>
    <n v="0"/>
    <s v="Sunny"/>
    <n v="0"/>
    <n v="68.95"/>
    <s v="Summer"/>
    <n v="8.4337349397590355E-2"/>
    <n v="4.6899999999999977"/>
  </r>
  <r>
    <d v="2022-01-01T00:00:00"/>
    <s v="S001"/>
    <s v="P0006"/>
    <x v="0"/>
    <s v="South"/>
    <n v="138"/>
    <n v="128"/>
    <n v="102"/>
    <n v="139.82"/>
    <n v="76.83"/>
    <n v="10"/>
    <s v="Sunny"/>
    <n v="1"/>
    <n v="79.349999999999994"/>
    <s v="Winter"/>
    <n v="0.92753623188405798"/>
    <n v="-2.519999999999996"/>
  </r>
  <r>
    <d v="2022-01-01T00:00:00"/>
    <s v="S001"/>
    <s v="P0007"/>
    <x v="3"/>
    <s v="East"/>
    <n v="359"/>
    <n v="97"/>
    <n v="167"/>
    <n v="108.92"/>
    <n v="34.159999999999997"/>
    <n v="10"/>
    <s v="Rainy"/>
    <n v="1"/>
    <n v="36.549999999999997"/>
    <s v="Winter"/>
    <n v="0.27019498607242337"/>
    <n v="-2.3900000000000006"/>
  </r>
  <r>
    <d v="2022-01-01T00:00:00"/>
    <s v="S001"/>
    <s v="P0008"/>
    <x v="4"/>
    <s v="North"/>
    <n v="380"/>
    <n v="312"/>
    <n v="54"/>
    <n v="329.73"/>
    <n v="97.99"/>
    <n v="5"/>
    <s v="Cloudy"/>
    <n v="0"/>
    <n v="100.09"/>
    <s v="Spring"/>
    <n v="0.82105263157894737"/>
    <n v="-2.1000000000000085"/>
  </r>
  <r>
    <d v="2022-01-01T00:00:00"/>
    <s v="S001"/>
    <s v="P0009"/>
    <x v="2"/>
    <s v="West"/>
    <n v="183"/>
    <n v="175"/>
    <n v="135"/>
    <n v="174.15"/>
    <n v="20.74"/>
    <n v="10"/>
    <s v="Cloudy"/>
    <n v="0"/>
    <n v="17.66"/>
    <s v="Autumn"/>
    <n v="0.95628415300546443"/>
    <n v="3.0799999999999983"/>
  </r>
  <r>
    <d v="2022-01-01T00:00:00"/>
    <s v="S001"/>
    <s v="P0010"/>
    <x v="1"/>
    <s v="South"/>
    <n v="108"/>
    <n v="28"/>
    <n v="196"/>
    <n v="24.47"/>
    <n v="59.99"/>
    <n v="0"/>
    <s v="Rainy"/>
    <n v="1"/>
    <n v="61.21"/>
    <s v="Winter"/>
    <n v="0.25925925925925924"/>
    <n v="-1.2199999999999989"/>
  </r>
  <r>
    <d v="2022-01-01T00:00:00"/>
    <s v="S001"/>
    <s v="P0011"/>
    <x v="3"/>
    <s v="South"/>
    <n v="258"/>
    <n v="150"/>
    <n v="153"/>
    <n v="152.74"/>
    <n v="58.53"/>
    <n v="10"/>
    <s v="Sunny"/>
    <n v="1"/>
    <n v="61.42"/>
    <s v="Spring"/>
    <n v="0.58139534883720934"/>
    <n v="-2.8900000000000006"/>
  </r>
  <r>
    <d v="2022-01-01T00:00:00"/>
    <s v="S001"/>
    <s v="P0012"/>
    <x v="4"/>
    <s v="West"/>
    <n v="66"/>
    <n v="24"/>
    <n v="70"/>
    <n v="26.75"/>
    <n v="58.25"/>
    <n v="20"/>
    <s v="Snowy"/>
    <n v="0"/>
    <n v="62.21"/>
    <s v="Spring"/>
    <n v="0.36363636363636365"/>
    <n v="-3.9600000000000009"/>
  </r>
  <r>
    <d v="2022-01-01T00:00:00"/>
    <s v="S001"/>
    <s v="P0013"/>
    <x v="1"/>
    <s v="South"/>
    <n v="96"/>
    <n v="42"/>
    <n v="85"/>
    <n v="41.46"/>
    <n v="43.6"/>
    <n v="0"/>
    <s v="Cloudy"/>
    <n v="0"/>
    <n v="46.31"/>
    <s v="Spring"/>
    <n v="0.4375"/>
    <n v="-2.7100000000000009"/>
  </r>
  <r>
    <d v="2022-01-01T00:00:00"/>
    <s v="S001"/>
    <s v="P0014"/>
    <x v="4"/>
    <s v="West"/>
    <n v="193"/>
    <n v="12"/>
    <n v="187"/>
    <n v="6.8"/>
    <n v="78.11"/>
    <n v="0"/>
    <s v="Sunny"/>
    <n v="0"/>
    <n v="80.06"/>
    <s v="Spring"/>
    <n v="6.2176165803108807E-2"/>
    <n v="-1.9500000000000028"/>
  </r>
  <r>
    <d v="2022-01-01T00:00:00"/>
    <s v="S001"/>
    <s v="P0015"/>
    <x v="4"/>
    <s v="North"/>
    <n v="379"/>
    <n v="369"/>
    <n v="154"/>
    <n v="363.46"/>
    <n v="92.99"/>
    <n v="15"/>
    <s v="Snowy"/>
    <n v="0"/>
    <n v="95.8"/>
    <s v="Winter"/>
    <n v="0.97361477572559363"/>
    <n v="-2.8100000000000023"/>
  </r>
  <r>
    <d v="2022-01-01T00:00:00"/>
    <s v="S001"/>
    <s v="P0016"/>
    <x v="2"/>
    <s v="North"/>
    <n v="363"/>
    <n v="255"/>
    <n v="69"/>
    <n v="255.74"/>
    <n v="21.9"/>
    <n v="5"/>
    <s v="Cloudy"/>
    <n v="1"/>
    <n v="20.27"/>
    <s v="Autumn"/>
    <n v="0.7024793388429752"/>
    <n v="1.629999999999999"/>
  </r>
  <r>
    <d v="2022-01-01T00:00:00"/>
    <s v="S001"/>
    <s v="P0017"/>
    <x v="1"/>
    <s v="West"/>
    <n v="318"/>
    <n v="246"/>
    <n v="177"/>
    <n v="255.37"/>
    <n v="21.07"/>
    <n v="20"/>
    <s v="Sunny"/>
    <n v="0"/>
    <n v="16.489999999999998"/>
    <s v="Winter"/>
    <n v="0.77358490566037741"/>
    <n v="4.5800000000000018"/>
  </r>
  <r>
    <d v="2022-01-01T00:00:00"/>
    <s v="S001"/>
    <s v="P0018"/>
    <x v="4"/>
    <s v="South"/>
    <n v="241"/>
    <n v="151"/>
    <n v="47"/>
    <n v="147.27000000000001"/>
    <n v="19.57"/>
    <n v="5"/>
    <s v="Cloudy"/>
    <n v="0"/>
    <n v="23.13"/>
    <s v="Autumn"/>
    <n v="0.62655601659751037"/>
    <n v="-3.5599999999999987"/>
  </r>
  <r>
    <d v="2022-01-01T00:00:00"/>
    <s v="S001"/>
    <s v="P0019"/>
    <x v="4"/>
    <s v="East"/>
    <n v="352"/>
    <n v="257"/>
    <n v="186"/>
    <n v="267.38"/>
    <n v="73.28"/>
    <n v="10"/>
    <s v="Cloudy"/>
    <n v="0"/>
    <n v="77.260000000000005"/>
    <s v="Winter"/>
    <n v="0.73011363636363635"/>
    <n v="-3.980000000000004"/>
  </r>
  <r>
    <d v="2022-01-01T00:00:00"/>
    <s v="S001"/>
    <s v="P0020"/>
    <x v="1"/>
    <s v="East"/>
    <n v="274"/>
    <n v="99"/>
    <n v="166"/>
    <n v="115.23"/>
    <n v="30.24"/>
    <n v="5"/>
    <s v="Cloudy"/>
    <n v="0"/>
    <n v="27.1"/>
    <s v="Spring"/>
    <n v="0.36131386861313869"/>
    <n v="3.139999999999997"/>
  </r>
  <r>
    <d v="2022-01-01T00:00:00"/>
    <s v="S002"/>
    <s v="P0001"/>
    <x v="0"/>
    <s v="South"/>
    <n v="343"/>
    <n v="104"/>
    <n v="144"/>
    <n v="112.55"/>
    <n v="32.799999999999997"/>
    <n v="20"/>
    <s v="Sunny"/>
    <n v="1"/>
    <n v="30.78"/>
    <s v="Spring"/>
    <n v="0.30320699708454812"/>
    <n v="2.019999999999996"/>
  </r>
  <r>
    <d v="2022-01-01T00:00:00"/>
    <s v="S002"/>
    <s v="P0002"/>
    <x v="4"/>
    <s v="West"/>
    <n v="373"/>
    <n v="141"/>
    <n v="151"/>
    <n v="135.62"/>
    <n v="46.16"/>
    <n v="10"/>
    <s v="Rainy"/>
    <n v="1"/>
    <n v="45.21"/>
    <s v="Winter"/>
    <n v="0.37801608579088469"/>
    <n v="0.94999999999999574"/>
  </r>
  <r>
    <d v="2022-01-01T00:00:00"/>
    <s v="S002"/>
    <s v="P0003"/>
    <x v="3"/>
    <s v="East"/>
    <n v="445"/>
    <n v="182"/>
    <n v="119"/>
    <n v="176.31"/>
    <n v="20.46"/>
    <n v="20"/>
    <s v="Snowy"/>
    <n v="1"/>
    <n v="22"/>
    <s v="Spring"/>
    <n v="0.40898876404494383"/>
    <n v="-1.5399999999999991"/>
  </r>
  <r>
    <d v="2022-01-01T00:00:00"/>
    <s v="S002"/>
    <s v="P0004"/>
    <x v="1"/>
    <s v="West"/>
    <n v="191"/>
    <n v="63"/>
    <n v="115"/>
    <n v="54.57"/>
    <n v="26.19"/>
    <n v="0"/>
    <s v="Cloudy"/>
    <n v="0"/>
    <n v="28.06"/>
    <s v="Autumn"/>
    <n v="0.32984293193717279"/>
    <n v="-1.8699999999999974"/>
  </r>
  <r>
    <d v="2022-01-01T00:00:00"/>
    <s v="S002"/>
    <s v="P0005"/>
    <x v="1"/>
    <s v="West"/>
    <n v="281"/>
    <n v="156"/>
    <n v="25"/>
    <n v="150.9"/>
    <n v="83.29"/>
    <n v="20"/>
    <s v="Rainy"/>
    <n v="0"/>
    <n v="80.64"/>
    <s v="Autumn"/>
    <n v="0.55516014234875444"/>
    <n v="2.6500000000000057"/>
  </r>
  <r>
    <d v="2022-01-01T00:00:00"/>
    <s v="S002"/>
    <s v="P0006"/>
    <x v="3"/>
    <s v="North"/>
    <n v="492"/>
    <n v="250"/>
    <n v="168"/>
    <n v="242.57"/>
    <n v="85.59"/>
    <n v="20"/>
    <s v="Cloudy"/>
    <n v="0"/>
    <n v="86.82"/>
    <s v="Winter"/>
    <n v="0.50813008130081305"/>
    <n v="-1.2299999999999898"/>
  </r>
  <r>
    <d v="2022-01-01T00:00:00"/>
    <s v="S002"/>
    <s v="P0007"/>
    <x v="0"/>
    <s v="West"/>
    <n v="460"/>
    <n v="393"/>
    <n v="70"/>
    <n v="401.48"/>
    <n v="91.13"/>
    <n v="5"/>
    <s v="Sunny"/>
    <n v="0"/>
    <n v="93.33"/>
    <s v="Summer"/>
    <n v="0.85434782608695647"/>
    <n v="-2.2000000000000028"/>
  </r>
  <r>
    <d v="2022-01-01T00:00:00"/>
    <s v="S002"/>
    <s v="P0008"/>
    <x v="2"/>
    <s v="West"/>
    <n v="304"/>
    <n v="29"/>
    <n v="99"/>
    <n v="35.54"/>
    <n v="66.959999999999994"/>
    <n v="20"/>
    <s v="Snowy"/>
    <n v="0"/>
    <n v="65.36"/>
    <s v="Summer"/>
    <n v="9.5394736842105268E-2"/>
    <n v="1.5999999999999943"/>
  </r>
  <r>
    <d v="2022-01-01T00:00:00"/>
    <s v="S002"/>
    <s v="P0009"/>
    <x v="4"/>
    <s v="South"/>
    <n v="113"/>
    <n v="9"/>
    <n v="84"/>
    <n v="14.78"/>
    <n v="81.290000000000006"/>
    <n v="5"/>
    <s v="Rainy"/>
    <n v="1"/>
    <n v="82.06"/>
    <s v="Winter"/>
    <n v="7.9646017699115043E-2"/>
    <n v="-0.76999999999999602"/>
  </r>
  <r>
    <d v="2022-01-01T00:00:00"/>
    <s v="S002"/>
    <s v="P0010"/>
    <x v="2"/>
    <s v="North"/>
    <n v="157"/>
    <n v="126"/>
    <n v="181"/>
    <n v="132.75"/>
    <n v="60.84"/>
    <n v="0"/>
    <s v="Snowy"/>
    <n v="1"/>
    <n v="65.22"/>
    <s v="Winter"/>
    <n v="0.80254777070063699"/>
    <n v="-4.3799999999999955"/>
  </r>
  <r>
    <d v="2022-01-01T00:00:00"/>
    <s v="S002"/>
    <s v="P0011"/>
    <x v="0"/>
    <s v="West"/>
    <n v="67"/>
    <n v="13"/>
    <n v="33"/>
    <n v="7.44"/>
    <n v="34.619999999999997"/>
    <n v="0"/>
    <s v="Snowy"/>
    <n v="1"/>
    <n v="33.979999999999997"/>
    <s v="Autumn"/>
    <n v="0.19402985074626866"/>
    <n v="0.64000000000000057"/>
  </r>
  <r>
    <d v="2022-01-01T00:00:00"/>
    <s v="S002"/>
    <s v="P0012"/>
    <x v="0"/>
    <s v="East"/>
    <n v="281"/>
    <n v="25"/>
    <n v="136"/>
    <n v="37.270000000000003"/>
    <n v="19.559999999999999"/>
    <n v="5"/>
    <s v="Rainy"/>
    <n v="1"/>
    <n v="19.010000000000002"/>
    <s v="Winter"/>
    <n v="8.8967971530249115E-2"/>
    <n v="0.54999999999999716"/>
  </r>
  <r>
    <d v="2022-01-01T00:00:00"/>
    <s v="S002"/>
    <s v="P0013"/>
    <x v="4"/>
    <s v="East"/>
    <n v="389"/>
    <n v="283"/>
    <n v="177"/>
    <n v="299.7"/>
    <n v="57.78"/>
    <n v="20"/>
    <s v="Cloudy"/>
    <n v="0"/>
    <n v="58.5"/>
    <s v="Spring"/>
    <n v="0.72750642673521848"/>
    <n v="-0.71999999999999886"/>
  </r>
  <r>
    <d v="2022-01-01T00:00:00"/>
    <s v="S002"/>
    <s v="P0014"/>
    <x v="2"/>
    <s v="East"/>
    <n v="465"/>
    <n v="359"/>
    <n v="77"/>
    <n v="370.36"/>
    <n v="91.28"/>
    <n v="20"/>
    <s v="Cloudy"/>
    <n v="0"/>
    <n v="90.85"/>
    <s v="Summer"/>
    <n v="0.77204301075268822"/>
    <n v="0.43000000000000682"/>
  </r>
  <r>
    <d v="2022-01-01T00:00:00"/>
    <s v="S002"/>
    <s v="P0015"/>
    <x v="1"/>
    <s v="South"/>
    <n v="197"/>
    <n v="129"/>
    <n v="94"/>
    <n v="148.55000000000001"/>
    <n v="59.9"/>
    <n v="15"/>
    <s v="Sunny"/>
    <n v="1"/>
    <n v="55.23"/>
    <s v="Winter"/>
    <n v="0.65482233502538068"/>
    <n v="4.6700000000000017"/>
  </r>
  <r>
    <d v="2022-01-01T00:00:00"/>
    <s v="S002"/>
    <s v="P0016"/>
    <x v="1"/>
    <s v="South"/>
    <n v="242"/>
    <n v="63"/>
    <n v="85"/>
    <n v="58.07"/>
    <n v="45.65"/>
    <n v="20"/>
    <s v="Rainy"/>
    <n v="1"/>
    <n v="42.17"/>
    <s v="Spring"/>
    <n v="0.26033057851239672"/>
    <n v="3.4799999999999969"/>
  </r>
  <r>
    <d v="2022-01-01T00:00:00"/>
    <s v="S002"/>
    <s v="P0017"/>
    <x v="0"/>
    <s v="West"/>
    <n v="398"/>
    <n v="373"/>
    <n v="92"/>
    <n v="390.89"/>
    <n v="11.71"/>
    <n v="20"/>
    <s v="Cloudy"/>
    <n v="1"/>
    <n v="10"/>
    <s v="Winter"/>
    <n v="0.93718592964824121"/>
    <n v="1.7100000000000009"/>
  </r>
  <r>
    <d v="2022-01-01T00:00:00"/>
    <s v="S002"/>
    <s v="P0018"/>
    <x v="0"/>
    <s v="North"/>
    <n v="234"/>
    <n v="160"/>
    <n v="140"/>
    <n v="177.41"/>
    <n v="58.84"/>
    <n v="5"/>
    <s v="Cloudy"/>
    <n v="0"/>
    <n v="54.39"/>
    <s v="Summer"/>
    <n v="0.68376068376068377"/>
    <n v="4.4500000000000028"/>
  </r>
  <r>
    <d v="2022-01-01T00:00:00"/>
    <s v="S002"/>
    <s v="P0019"/>
    <x v="1"/>
    <s v="East"/>
    <n v="67"/>
    <n v="15"/>
    <n v="186"/>
    <n v="34.380000000000003"/>
    <n v="84.99"/>
    <n v="5"/>
    <s v="Sunny"/>
    <n v="1"/>
    <n v="81.02"/>
    <s v="Winter"/>
    <n v="0.22388059701492538"/>
    <n v="3.9699999999999989"/>
  </r>
  <r>
    <d v="2022-01-01T00:00:00"/>
    <s v="S002"/>
    <s v="P0020"/>
    <x v="1"/>
    <s v="West"/>
    <n v="221"/>
    <n v="101"/>
    <n v="38"/>
    <n v="115"/>
    <n v="87.1"/>
    <n v="0"/>
    <s v="Rainy"/>
    <n v="1"/>
    <n v="91.56"/>
    <s v="Spring"/>
    <n v="0.45701357466063347"/>
    <n v="-4.460000000000008"/>
  </r>
  <r>
    <d v="2022-01-01T00:00:00"/>
    <s v="S003"/>
    <s v="P0001"/>
    <x v="1"/>
    <s v="South"/>
    <n v="241"/>
    <n v="147"/>
    <n v="180"/>
    <n v="161.09"/>
    <n v="67.209999999999994"/>
    <n v="5"/>
    <s v="Sunny"/>
    <n v="1"/>
    <n v="67.39"/>
    <s v="Summer"/>
    <n v="0.60995850622406644"/>
    <n v="-0.18000000000000682"/>
  </r>
  <r>
    <d v="2022-01-01T00:00:00"/>
    <s v="S003"/>
    <s v="P0002"/>
    <x v="2"/>
    <s v="West"/>
    <n v="115"/>
    <n v="4"/>
    <n v="169"/>
    <n v="11.11"/>
    <n v="28.2"/>
    <n v="10"/>
    <s v="Sunny"/>
    <n v="1"/>
    <n v="25.63"/>
    <s v="Spring"/>
    <n v="3.4782608695652174E-2"/>
    <n v="2.5700000000000003"/>
  </r>
  <r>
    <d v="2022-01-01T00:00:00"/>
    <s v="S003"/>
    <s v="P0003"/>
    <x v="0"/>
    <s v="South"/>
    <n v="375"/>
    <n v="77"/>
    <n v="145"/>
    <n v="75.040000000000006"/>
    <n v="56.16"/>
    <n v="10"/>
    <s v="Sunny"/>
    <n v="1"/>
    <n v="57.16"/>
    <s v="Spring"/>
    <n v="0.20533333333333334"/>
    <n v="-1"/>
  </r>
  <r>
    <d v="2022-01-01T00:00:00"/>
    <s v="S003"/>
    <s v="P0004"/>
    <x v="1"/>
    <s v="South"/>
    <n v="153"/>
    <n v="31"/>
    <n v="145"/>
    <n v="42.99"/>
    <n v="89.53"/>
    <n v="20"/>
    <s v="Rainy"/>
    <n v="1"/>
    <n v="93.6"/>
    <s v="Winter"/>
    <n v="0.20261437908496732"/>
    <n v="-4.0699999999999932"/>
  </r>
  <r>
    <d v="2022-01-01T00:00:00"/>
    <s v="S003"/>
    <s v="P0005"/>
    <x v="4"/>
    <s v="West"/>
    <n v="438"/>
    <n v="325"/>
    <n v="20"/>
    <n v="330.92"/>
    <n v="97.95"/>
    <n v="20"/>
    <s v="Sunny"/>
    <n v="0"/>
    <n v="93.54"/>
    <s v="Winter"/>
    <n v="0.74200913242009137"/>
    <n v="4.4099999999999966"/>
  </r>
  <r>
    <d v="2022-01-01T00:00:00"/>
    <s v="S003"/>
    <s v="P0006"/>
    <x v="0"/>
    <s v="North"/>
    <n v="456"/>
    <n v="163"/>
    <n v="22"/>
    <n v="159.16999999999999"/>
    <n v="76.37"/>
    <n v="5"/>
    <s v="Rainy"/>
    <n v="1"/>
    <n v="71.38"/>
    <s v="Summer"/>
    <n v="0.35745614035087719"/>
    <n v="4.9900000000000091"/>
  </r>
  <r>
    <d v="2022-01-01T00:00:00"/>
    <s v="S003"/>
    <s v="P0007"/>
    <x v="2"/>
    <s v="North"/>
    <n v="189"/>
    <n v="34"/>
    <n v="107"/>
    <n v="26.91"/>
    <n v="86.99"/>
    <n v="15"/>
    <s v="Rainy"/>
    <n v="1"/>
    <n v="90.5"/>
    <s v="Summer"/>
    <n v="0.17989417989417988"/>
    <n v="-3.5100000000000051"/>
  </r>
  <r>
    <d v="2022-01-01T00:00:00"/>
    <s v="S003"/>
    <s v="P0008"/>
    <x v="1"/>
    <s v="North"/>
    <n v="223"/>
    <n v="47"/>
    <n v="107"/>
    <n v="45.48"/>
    <n v="66.53"/>
    <n v="15"/>
    <s v="Cloudy"/>
    <n v="1"/>
    <n v="70.459999999999994"/>
    <s v="Spring"/>
    <n v="0.21076233183856502"/>
    <n v="-3.9299999999999926"/>
  </r>
  <r>
    <d v="2022-01-01T00:00:00"/>
    <s v="S003"/>
    <s v="P0009"/>
    <x v="0"/>
    <s v="South"/>
    <n v="381"/>
    <n v="15"/>
    <n v="184"/>
    <n v="30.05"/>
    <n v="74.86"/>
    <n v="15"/>
    <s v="Snowy"/>
    <n v="1"/>
    <n v="73.930000000000007"/>
    <s v="Winter"/>
    <n v="3.937007874015748E-2"/>
    <n v="0.92999999999999261"/>
  </r>
  <r>
    <d v="2022-01-01T00:00:00"/>
    <s v="S003"/>
    <s v="P0010"/>
    <x v="0"/>
    <s v="South"/>
    <n v="166"/>
    <n v="126"/>
    <n v="124"/>
    <n v="141.34"/>
    <n v="97.09"/>
    <n v="5"/>
    <s v="Rainy"/>
    <n v="1"/>
    <n v="95.8"/>
    <s v="Summer"/>
    <n v="0.75903614457831325"/>
    <n v="1.2900000000000063"/>
  </r>
  <r>
    <d v="2022-01-01T00:00:00"/>
    <s v="S003"/>
    <s v="P0011"/>
    <x v="1"/>
    <s v="East"/>
    <n v="292"/>
    <n v="232"/>
    <n v="155"/>
    <n v="242.02"/>
    <n v="56.19"/>
    <n v="0"/>
    <s v="Snowy"/>
    <n v="1"/>
    <n v="57.85"/>
    <s v="Winter"/>
    <n v="0.79452054794520544"/>
    <n v="-1.6600000000000037"/>
  </r>
  <r>
    <d v="2022-01-01T00:00:00"/>
    <s v="S003"/>
    <s v="P0012"/>
    <x v="2"/>
    <s v="North"/>
    <n v="311"/>
    <n v="175"/>
    <n v="55"/>
    <n v="176.75"/>
    <n v="90.38"/>
    <n v="20"/>
    <s v="Cloudy"/>
    <n v="0"/>
    <n v="89.52"/>
    <s v="Summer"/>
    <n v="0.56270096463022512"/>
    <n v="0.85999999999999943"/>
  </r>
  <r>
    <d v="2022-01-01T00:00:00"/>
    <s v="S003"/>
    <s v="P0013"/>
    <x v="3"/>
    <s v="North"/>
    <n v="51"/>
    <n v="17"/>
    <n v="172"/>
    <n v="12.86"/>
    <n v="73.98"/>
    <n v="20"/>
    <s v="Cloudy"/>
    <n v="1"/>
    <n v="76.650000000000006"/>
    <s v="Summer"/>
    <n v="0.33333333333333331"/>
    <n v="-2.6700000000000017"/>
  </r>
  <r>
    <d v="2022-01-01T00:00:00"/>
    <s v="S003"/>
    <s v="P0014"/>
    <x v="2"/>
    <s v="South"/>
    <n v="398"/>
    <n v="369"/>
    <n v="26"/>
    <n v="387.88"/>
    <n v="79.03"/>
    <n v="5"/>
    <s v="Rainy"/>
    <n v="0"/>
    <n v="82.51"/>
    <s v="Spring"/>
    <n v="0.92713567839195976"/>
    <n v="-3.480000000000004"/>
  </r>
  <r>
    <d v="2022-01-01T00:00:00"/>
    <s v="S003"/>
    <s v="P0015"/>
    <x v="4"/>
    <s v="West"/>
    <n v="445"/>
    <n v="260"/>
    <n v="24"/>
    <n v="266.36"/>
    <n v="27.72"/>
    <n v="5"/>
    <s v="Snowy"/>
    <n v="0"/>
    <n v="23.28"/>
    <s v="Autumn"/>
    <n v="0.5842696629213483"/>
    <n v="4.4399999999999977"/>
  </r>
  <r>
    <d v="2022-01-01T00:00:00"/>
    <s v="S003"/>
    <s v="P0016"/>
    <x v="0"/>
    <s v="South"/>
    <n v="487"/>
    <n v="347"/>
    <n v="93"/>
    <n v="349.36"/>
    <n v="98.18"/>
    <n v="15"/>
    <s v="Rainy"/>
    <n v="0"/>
    <n v="99.58"/>
    <s v="Winter"/>
    <n v="0.71252566735112932"/>
    <n v="-1.3999999999999915"/>
  </r>
  <r>
    <d v="2022-01-01T00:00:00"/>
    <s v="S003"/>
    <s v="P0017"/>
    <x v="4"/>
    <s v="East"/>
    <n v="429"/>
    <n v="150"/>
    <n v="168"/>
    <n v="157.82"/>
    <n v="27.1"/>
    <n v="5"/>
    <s v="Cloudy"/>
    <n v="1"/>
    <n v="27.4"/>
    <s v="Spring"/>
    <n v="0.34965034965034963"/>
    <n v="-0.29999999999999716"/>
  </r>
  <r>
    <d v="2022-01-01T00:00:00"/>
    <s v="S003"/>
    <s v="P0018"/>
    <x v="1"/>
    <s v="West"/>
    <n v="204"/>
    <n v="70"/>
    <n v="170"/>
    <n v="83.01"/>
    <n v="97.08"/>
    <n v="15"/>
    <s v="Snowy"/>
    <n v="1"/>
    <n v="94.88"/>
    <s v="Winter"/>
    <n v="0.34313725490196079"/>
    <n v="2.2000000000000028"/>
  </r>
  <r>
    <d v="2022-01-01T00:00:00"/>
    <s v="S003"/>
    <s v="P0019"/>
    <x v="4"/>
    <s v="East"/>
    <n v="330"/>
    <n v="249"/>
    <n v="37"/>
    <n v="268.25"/>
    <n v="26.71"/>
    <n v="15"/>
    <s v="Cloudy"/>
    <n v="1"/>
    <n v="24.81"/>
    <s v="Summer"/>
    <n v="0.75454545454545452"/>
    <n v="1.9000000000000021"/>
  </r>
  <r>
    <d v="2022-01-01T00:00:00"/>
    <s v="S003"/>
    <s v="P0020"/>
    <x v="2"/>
    <s v="North"/>
    <n v="431"/>
    <n v="370"/>
    <n v="99"/>
    <n v="387.57"/>
    <n v="95.85"/>
    <n v="20"/>
    <s v="Cloudy"/>
    <n v="1"/>
    <n v="95.7"/>
    <s v="Spring"/>
    <n v="0.85846867749419953"/>
    <n v="0.14999999999999147"/>
  </r>
  <r>
    <d v="2022-01-01T00:00:00"/>
    <s v="S004"/>
    <s v="P0001"/>
    <x v="1"/>
    <s v="South"/>
    <n v="477"/>
    <n v="271"/>
    <n v="66"/>
    <n v="286.64999999999998"/>
    <n v="15.62"/>
    <n v="15"/>
    <s v="Sunny"/>
    <n v="0"/>
    <n v="16.09"/>
    <s v="Winter"/>
    <n v="0.56813417190775684"/>
    <n v="-0.47000000000000064"/>
  </r>
  <r>
    <d v="2022-01-01T00:00:00"/>
    <s v="S004"/>
    <s v="P0002"/>
    <x v="4"/>
    <s v="North"/>
    <n v="462"/>
    <n v="180"/>
    <n v="183"/>
    <n v="176.06"/>
    <n v="41.13"/>
    <n v="5"/>
    <s v="Sunny"/>
    <n v="0"/>
    <n v="45.05"/>
    <s v="Autumn"/>
    <n v="0.38961038961038963"/>
    <n v="-3.9199999999999946"/>
  </r>
  <r>
    <d v="2022-01-01T00:00:00"/>
    <s v="S004"/>
    <s v="P0003"/>
    <x v="4"/>
    <s v="West"/>
    <n v="446"/>
    <n v="344"/>
    <n v="27"/>
    <n v="352.93"/>
    <n v="89.32"/>
    <n v="20"/>
    <s v="Cloudy"/>
    <n v="0"/>
    <n v="93"/>
    <s v="Autumn"/>
    <n v="0.77130044843049328"/>
    <n v="-3.6800000000000068"/>
  </r>
  <r>
    <d v="2022-01-01T00:00:00"/>
    <s v="S004"/>
    <s v="P0004"/>
    <x v="0"/>
    <s v="West"/>
    <n v="437"/>
    <n v="0"/>
    <n v="160"/>
    <n v="-2.4"/>
    <n v="87.23"/>
    <n v="10"/>
    <s v="Sunny"/>
    <n v="0"/>
    <n v="90.36"/>
    <s v="Spring"/>
    <n v="0"/>
    <n v="-3.1299999999999955"/>
  </r>
  <r>
    <d v="2022-01-01T00:00:00"/>
    <s v="S004"/>
    <s v="P0005"/>
    <x v="0"/>
    <s v="North"/>
    <n v="397"/>
    <n v="200"/>
    <n v="172"/>
    <n v="196.57"/>
    <n v="81.72"/>
    <n v="0"/>
    <s v="Snowy"/>
    <n v="1"/>
    <n v="85.22"/>
    <s v="Spring"/>
    <n v="0.50377833753148615"/>
    <n v="-3.5"/>
  </r>
  <r>
    <d v="2022-01-01T00:00:00"/>
    <s v="S004"/>
    <s v="P0006"/>
    <x v="2"/>
    <s v="East"/>
    <n v="470"/>
    <n v="382"/>
    <n v="195"/>
    <n v="396.4"/>
    <n v="41.35"/>
    <n v="10"/>
    <s v="Snowy"/>
    <n v="0"/>
    <n v="39.86"/>
    <s v="Summer"/>
    <n v="0.81276595744680846"/>
    <n v="1.490000000000002"/>
  </r>
  <r>
    <d v="2022-01-01T00:00:00"/>
    <s v="S004"/>
    <s v="P0007"/>
    <x v="2"/>
    <s v="West"/>
    <n v="264"/>
    <n v="190"/>
    <n v="139"/>
    <n v="197.45"/>
    <n v="67.260000000000005"/>
    <n v="20"/>
    <s v="Cloudy"/>
    <n v="0"/>
    <n v="64.78"/>
    <s v="Summer"/>
    <n v="0.71969696969696972"/>
    <n v="2.480000000000004"/>
  </r>
  <r>
    <d v="2022-01-01T00:00:00"/>
    <s v="S004"/>
    <s v="P0008"/>
    <x v="3"/>
    <s v="South"/>
    <n v="250"/>
    <n v="51"/>
    <n v="137"/>
    <n v="54.98"/>
    <n v="85.88"/>
    <n v="20"/>
    <s v="Snowy"/>
    <n v="1"/>
    <n v="86.14"/>
    <s v="Winter"/>
    <n v="0.20399999999999999"/>
    <n v="-0.26000000000000512"/>
  </r>
  <r>
    <d v="2022-01-01T00:00:00"/>
    <s v="S004"/>
    <s v="P0009"/>
    <x v="3"/>
    <s v="North"/>
    <n v="63"/>
    <n v="40"/>
    <n v="73"/>
    <n v="51.78"/>
    <n v="59.23"/>
    <n v="10"/>
    <s v="Rainy"/>
    <n v="1"/>
    <n v="61.1"/>
    <s v="Summer"/>
    <n v="0.63492063492063489"/>
    <n v="-1.8700000000000045"/>
  </r>
  <r>
    <d v="2022-01-01T00:00:00"/>
    <s v="S004"/>
    <s v="P0010"/>
    <x v="0"/>
    <s v="East"/>
    <n v="447"/>
    <n v="104"/>
    <n v="96"/>
    <n v="115.03"/>
    <n v="33.479999999999997"/>
    <n v="15"/>
    <s v="Cloudy"/>
    <n v="0"/>
    <n v="37.15"/>
    <s v="Summer"/>
    <n v="0.23266219239373601"/>
    <n v="-3.6700000000000017"/>
  </r>
  <r>
    <d v="2022-01-01T00:00:00"/>
    <s v="S004"/>
    <s v="P0011"/>
    <x v="2"/>
    <s v="West"/>
    <n v="205"/>
    <n v="46"/>
    <n v="27"/>
    <n v="46.65"/>
    <n v="54.84"/>
    <n v="0"/>
    <s v="Sunny"/>
    <n v="1"/>
    <n v="57.76"/>
    <s v="Spring"/>
    <n v="0.22439024390243903"/>
    <n v="-2.9199999999999946"/>
  </r>
  <r>
    <d v="2022-01-01T00:00:00"/>
    <s v="S004"/>
    <s v="P0012"/>
    <x v="2"/>
    <s v="North"/>
    <n v="349"/>
    <n v="9"/>
    <n v="165"/>
    <n v="0.95"/>
    <n v="14.25"/>
    <n v="5"/>
    <s v="Rainy"/>
    <n v="1"/>
    <n v="18.559999999999999"/>
    <s v="Spring"/>
    <n v="2.5787965616045846E-2"/>
    <n v="-4.3099999999999987"/>
  </r>
  <r>
    <d v="2022-01-01T00:00:00"/>
    <s v="S004"/>
    <s v="P0013"/>
    <x v="3"/>
    <s v="East"/>
    <n v="191"/>
    <n v="56"/>
    <n v="65"/>
    <n v="54.47"/>
    <n v="61.81"/>
    <n v="0"/>
    <s v="Sunny"/>
    <n v="0"/>
    <n v="63.92"/>
    <s v="Autumn"/>
    <n v="0.29319371727748689"/>
    <n v="-2.1099999999999994"/>
  </r>
  <r>
    <d v="2022-01-01T00:00:00"/>
    <s v="S004"/>
    <s v="P0014"/>
    <x v="2"/>
    <s v="West"/>
    <n v="406"/>
    <n v="63"/>
    <n v="139"/>
    <n v="69.73"/>
    <n v="66.94"/>
    <n v="10"/>
    <s v="Snowy"/>
    <n v="1"/>
    <n v="68.47"/>
    <s v="Winter"/>
    <n v="0.15517241379310345"/>
    <n v="-1.5300000000000011"/>
  </r>
  <r>
    <d v="2022-01-01T00:00:00"/>
    <s v="S004"/>
    <s v="P0015"/>
    <x v="4"/>
    <s v="South"/>
    <n v="228"/>
    <n v="181"/>
    <n v="127"/>
    <n v="171.96"/>
    <n v="60.54"/>
    <n v="5"/>
    <s v="Cloudy"/>
    <n v="0"/>
    <n v="65.27"/>
    <s v="Autumn"/>
    <n v="0.79385964912280704"/>
    <n v="-4.7299999999999969"/>
  </r>
  <r>
    <d v="2022-01-01T00:00:00"/>
    <s v="S004"/>
    <s v="P0016"/>
    <x v="0"/>
    <s v="South"/>
    <n v="263"/>
    <n v="94"/>
    <n v="24"/>
    <n v="98.05"/>
    <n v="94.26"/>
    <n v="15"/>
    <s v="Rainy"/>
    <n v="0"/>
    <n v="96.74"/>
    <s v="Summer"/>
    <n v="0.35741444866920152"/>
    <n v="-2.4799999999999898"/>
  </r>
  <r>
    <d v="2022-01-01T00:00:00"/>
    <s v="S004"/>
    <s v="P0017"/>
    <x v="2"/>
    <s v="South"/>
    <n v="203"/>
    <n v="46"/>
    <n v="75"/>
    <n v="55.12"/>
    <n v="25.55"/>
    <n v="0"/>
    <s v="Rainy"/>
    <n v="0"/>
    <n v="28.07"/>
    <s v="Winter"/>
    <n v="0.22660098522167488"/>
    <n v="-2.5199999999999996"/>
  </r>
  <r>
    <d v="2022-01-01T00:00:00"/>
    <s v="S004"/>
    <s v="P0018"/>
    <x v="0"/>
    <s v="West"/>
    <n v="143"/>
    <n v="8"/>
    <n v="27"/>
    <n v="27.3"/>
    <n v="16.73"/>
    <n v="5"/>
    <s v="Cloudy"/>
    <n v="1"/>
    <n v="18.79"/>
    <s v="Spring"/>
    <n v="5.5944055944055944E-2"/>
    <n v="-2.0599999999999987"/>
  </r>
  <r>
    <d v="2022-01-01T00:00:00"/>
    <s v="S004"/>
    <s v="P0019"/>
    <x v="0"/>
    <s v="West"/>
    <n v="359"/>
    <n v="172"/>
    <n v="125"/>
    <n v="181.25"/>
    <n v="71.2"/>
    <n v="15"/>
    <s v="Rainy"/>
    <n v="1"/>
    <n v="73.849999999999994"/>
    <s v="Spring"/>
    <n v="0.47910863509749302"/>
    <n v="-2.6499999999999915"/>
  </r>
  <r>
    <d v="2022-01-01T00:00:00"/>
    <s v="S004"/>
    <s v="P0020"/>
    <x v="4"/>
    <s v="West"/>
    <n v="211"/>
    <n v="68"/>
    <n v="37"/>
    <n v="86.27"/>
    <n v="11.5"/>
    <n v="20"/>
    <s v="Snowy"/>
    <n v="0"/>
    <n v="9.26"/>
    <s v="Winter"/>
    <n v="0.32227488151658767"/>
    <n v="2.2400000000000002"/>
  </r>
  <r>
    <d v="2022-01-01T00:00:00"/>
    <s v="S005"/>
    <s v="P0001"/>
    <x v="1"/>
    <s v="West"/>
    <n v="111"/>
    <n v="77"/>
    <n v="60"/>
    <n v="83.47"/>
    <n v="70.33"/>
    <n v="10"/>
    <s v="Cloudy"/>
    <n v="0"/>
    <n v="70.290000000000006"/>
    <s v="Winter"/>
    <n v="0.69369369369369371"/>
    <n v="3.9999999999992042E-2"/>
  </r>
  <r>
    <d v="2022-01-01T00:00:00"/>
    <s v="S005"/>
    <s v="P0002"/>
    <x v="4"/>
    <s v="West"/>
    <n v="415"/>
    <n v="298"/>
    <n v="107"/>
    <n v="292.95999999999998"/>
    <n v="57.15"/>
    <n v="5"/>
    <s v="Snowy"/>
    <n v="1"/>
    <n v="60.71"/>
    <s v="Autumn"/>
    <n v="0.71807228915662646"/>
    <n v="-3.5600000000000023"/>
  </r>
  <r>
    <d v="2022-01-01T00:00:00"/>
    <s v="S005"/>
    <s v="P0003"/>
    <x v="2"/>
    <s v="North"/>
    <n v="384"/>
    <n v="64"/>
    <n v="26"/>
    <n v="76.02"/>
    <n v="36.17"/>
    <n v="5"/>
    <s v="Sunny"/>
    <n v="0"/>
    <n v="40.93"/>
    <s v="Spring"/>
    <n v="0.16666666666666666"/>
    <n v="-4.759999999999998"/>
  </r>
  <r>
    <d v="2022-01-01T00:00:00"/>
    <s v="S005"/>
    <s v="P0004"/>
    <x v="3"/>
    <s v="West"/>
    <n v="436"/>
    <n v="300"/>
    <n v="174"/>
    <n v="292.04000000000002"/>
    <n v="50.77"/>
    <n v="15"/>
    <s v="Snowy"/>
    <n v="1"/>
    <n v="54.7"/>
    <s v="Spring"/>
    <n v="0.68807339449541283"/>
    <n v="-3.9299999999999997"/>
  </r>
  <r>
    <d v="2022-01-01T00:00:00"/>
    <s v="S005"/>
    <s v="P0005"/>
    <x v="4"/>
    <s v="West"/>
    <n v="180"/>
    <n v="21"/>
    <n v="47"/>
    <n v="38.630000000000003"/>
    <n v="92.86"/>
    <n v="15"/>
    <s v="Rainy"/>
    <n v="1"/>
    <n v="96.3"/>
    <s v="Winter"/>
    <n v="0.11666666666666667"/>
    <n v="-3.4399999999999977"/>
  </r>
  <r>
    <d v="2022-01-01T00:00:00"/>
    <s v="S005"/>
    <s v="P0006"/>
    <x v="0"/>
    <s v="North"/>
    <n v="185"/>
    <n v="176"/>
    <n v="163"/>
    <n v="174.06"/>
    <n v="60.76"/>
    <n v="20"/>
    <s v="Cloudy"/>
    <n v="0"/>
    <n v="61.15"/>
    <s v="Summer"/>
    <n v="0.9513513513513514"/>
    <n v="-0.39000000000000057"/>
  </r>
  <r>
    <d v="2022-01-01T00:00:00"/>
    <s v="S005"/>
    <s v="P0007"/>
    <x v="4"/>
    <s v="South"/>
    <n v="292"/>
    <n v="131"/>
    <n v="140"/>
    <n v="122.6"/>
    <n v="46.47"/>
    <n v="15"/>
    <s v="Snowy"/>
    <n v="0"/>
    <n v="50.84"/>
    <s v="Summer"/>
    <n v="0.44863013698630139"/>
    <n v="-4.3700000000000045"/>
  </r>
  <r>
    <d v="2022-01-01T00:00:00"/>
    <s v="S005"/>
    <s v="P0008"/>
    <x v="1"/>
    <s v="West"/>
    <n v="478"/>
    <n v="317"/>
    <n v="197"/>
    <n v="328.64"/>
    <n v="34.08"/>
    <n v="5"/>
    <s v="Snowy"/>
    <n v="1"/>
    <n v="30.44"/>
    <s v="Winter"/>
    <n v="0.66317991631799167"/>
    <n v="3.639999999999997"/>
  </r>
  <r>
    <d v="2022-01-01T00:00:00"/>
    <s v="S005"/>
    <s v="P0009"/>
    <x v="0"/>
    <s v="West"/>
    <n v="182"/>
    <n v="97"/>
    <n v="27"/>
    <n v="92.62"/>
    <n v="87.81"/>
    <n v="5"/>
    <s v="Snowy"/>
    <n v="0"/>
    <n v="85.45"/>
    <s v="Spring"/>
    <n v="0.53296703296703296"/>
    <n v="2.3599999999999994"/>
  </r>
  <r>
    <d v="2022-01-01T00:00:00"/>
    <s v="S005"/>
    <s v="P0010"/>
    <x v="4"/>
    <s v="East"/>
    <n v="87"/>
    <n v="8"/>
    <n v="141"/>
    <n v="14.38"/>
    <n v="37.04"/>
    <n v="10"/>
    <s v="Rainy"/>
    <n v="1"/>
    <n v="36.869999999999997"/>
    <s v="Summer"/>
    <n v="9.1954022988505746E-2"/>
    <n v="0.17000000000000171"/>
  </r>
  <r>
    <d v="2022-01-01T00:00:00"/>
    <s v="S005"/>
    <s v="P0011"/>
    <x v="0"/>
    <s v="West"/>
    <n v="427"/>
    <n v="104"/>
    <n v="128"/>
    <n v="94.65"/>
    <n v="54.12"/>
    <n v="10"/>
    <s v="Rainy"/>
    <n v="1"/>
    <n v="53.03"/>
    <s v="Summer"/>
    <n v="0.24355971896955503"/>
    <n v="1.0899999999999963"/>
  </r>
  <r>
    <d v="2022-01-01T00:00:00"/>
    <s v="S005"/>
    <s v="P0012"/>
    <x v="2"/>
    <s v="West"/>
    <n v="245"/>
    <n v="87"/>
    <n v="188"/>
    <n v="90.59"/>
    <n v="67.64"/>
    <n v="15"/>
    <s v="Sunny"/>
    <n v="0"/>
    <n v="63.53"/>
    <s v="Summer"/>
    <n v="0.35510204081632651"/>
    <n v="4.1099999999999994"/>
  </r>
  <r>
    <d v="2022-01-01T00:00:00"/>
    <s v="S005"/>
    <s v="P0013"/>
    <x v="3"/>
    <s v="South"/>
    <n v="317"/>
    <n v="238"/>
    <n v="95"/>
    <n v="256.57"/>
    <n v="82.18"/>
    <n v="5"/>
    <s v="Cloudy"/>
    <n v="0"/>
    <n v="87.09"/>
    <s v="Summer"/>
    <n v="0.75078864353312302"/>
    <n v="-4.9099999999999966"/>
  </r>
  <r>
    <d v="2022-01-01T00:00:00"/>
    <s v="S005"/>
    <s v="P0014"/>
    <x v="2"/>
    <s v="South"/>
    <n v="325"/>
    <n v="171"/>
    <n v="43"/>
    <n v="188.55"/>
    <n v="42.62"/>
    <n v="20"/>
    <s v="Cloudy"/>
    <n v="1"/>
    <n v="42.01"/>
    <s v="Autumn"/>
    <n v="0.52615384615384619"/>
    <n v="0.60999999999999943"/>
  </r>
  <r>
    <d v="2022-01-01T00:00:00"/>
    <s v="S005"/>
    <s v="P0015"/>
    <x v="3"/>
    <s v="West"/>
    <n v="411"/>
    <n v="250"/>
    <n v="119"/>
    <n v="260.79000000000002"/>
    <n v="11.54"/>
    <n v="10"/>
    <s v="Cloudy"/>
    <n v="0"/>
    <n v="11.27"/>
    <s v="Spring"/>
    <n v="0.6082725060827251"/>
    <n v="0.26999999999999957"/>
  </r>
  <r>
    <d v="2022-01-01T00:00:00"/>
    <s v="S005"/>
    <s v="P0016"/>
    <x v="4"/>
    <s v="South"/>
    <n v="71"/>
    <n v="11"/>
    <n v="32"/>
    <n v="1.85"/>
    <n v="16.3"/>
    <n v="5"/>
    <s v="Sunny"/>
    <n v="0"/>
    <n v="17.98"/>
    <s v="Winter"/>
    <n v="0.15492957746478872"/>
    <n v="-1.6799999999999997"/>
  </r>
  <r>
    <d v="2022-01-01T00:00:00"/>
    <s v="S005"/>
    <s v="P0017"/>
    <x v="2"/>
    <s v="East"/>
    <n v="388"/>
    <n v="371"/>
    <n v="98"/>
    <n v="390.04"/>
    <n v="98.31"/>
    <n v="15"/>
    <s v="Sunny"/>
    <n v="1"/>
    <n v="102.42"/>
    <s v="Spring"/>
    <n v="0.95618556701030932"/>
    <n v="-4.1099999999999994"/>
  </r>
  <r>
    <d v="2022-01-01T00:00:00"/>
    <s v="S005"/>
    <s v="P0018"/>
    <x v="3"/>
    <s v="West"/>
    <n v="161"/>
    <n v="107"/>
    <n v="66"/>
    <n v="103.97"/>
    <n v="48.96"/>
    <n v="10"/>
    <s v="Snowy"/>
    <n v="1"/>
    <n v="50.03"/>
    <s v="Spring"/>
    <n v="0.6645962732919255"/>
    <n v="-1.0700000000000003"/>
  </r>
  <r>
    <d v="2022-01-01T00:00:00"/>
    <s v="S005"/>
    <s v="P0019"/>
    <x v="0"/>
    <s v="South"/>
    <n v="235"/>
    <n v="106"/>
    <n v="124"/>
    <n v="119.33"/>
    <n v="88.22"/>
    <n v="5"/>
    <s v="Rainy"/>
    <n v="0"/>
    <n v="91.16"/>
    <s v="Spring"/>
    <n v="0.45106382978723403"/>
    <n v="-2.9399999999999977"/>
  </r>
  <r>
    <d v="2022-01-01T00:00:00"/>
    <s v="S005"/>
    <s v="P0020"/>
    <x v="2"/>
    <s v="South"/>
    <n v="108"/>
    <n v="101"/>
    <n v="52"/>
    <n v="105.92"/>
    <n v="11.04"/>
    <n v="10"/>
    <s v="Snowy"/>
    <n v="1"/>
    <n v="9.14"/>
    <s v="Autumn"/>
    <n v="0.93518518518518523"/>
    <n v="1.8999999999999986"/>
  </r>
  <r>
    <d v="2022-01-02T00:00:00"/>
    <s v="S001"/>
    <s v="P0001"/>
    <x v="0"/>
    <s v="West"/>
    <n v="116"/>
    <n v="81"/>
    <n v="104"/>
    <n v="92.94"/>
    <n v="27.95"/>
    <n v="10"/>
    <s v="Cloudy"/>
    <n v="0"/>
    <n v="30.89"/>
    <s v="Spring"/>
    <n v="0.69827586206896552"/>
    <n v="-2.9400000000000013"/>
  </r>
  <r>
    <d v="2022-01-02T00:00:00"/>
    <s v="S001"/>
    <s v="P0002"/>
    <x v="4"/>
    <s v="West"/>
    <n v="416"/>
    <n v="163"/>
    <n v="79"/>
    <n v="171.6"/>
    <n v="19.78"/>
    <n v="15"/>
    <s v="Cloudy"/>
    <n v="0"/>
    <n v="18.760000000000002"/>
    <s v="Spring"/>
    <n v="0.39182692307692307"/>
    <n v="1.0199999999999996"/>
  </r>
  <r>
    <d v="2022-01-02T00:00:00"/>
    <s v="S001"/>
    <s v="P0003"/>
    <x v="4"/>
    <s v="South"/>
    <n v="488"/>
    <n v="464"/>
    <n v="163"/>
    <n v="463.12"/>
    <n v="70.989999999999995"/>
    <n v="10"/>
    <s v="Snowy"/>
    <n v="0"/>
    <n v="72.930000000000007"/>
    <s v="Summer"/>
    <n v="0.95081967213114749"/>
    <n v="-1.9400000000000119"/>
  </r>
  <r>
    <d v="2022-01-02T00:00:00"/>
    <s v="S001"/>
    <s v="P0004"/>
    <x v="0"/>
    <s v="East"/>
    <n v="248"/>
    <n v="116"/>
    <n v="107"/>
    <n v="133.91999999999999"/>
    <n v="49.56"/>
    <n v="5"/>
    <s v="Snowy"/>
    <n v="0"/>
    <n v="50.46"/>
    <s v="Summer"/>
    <n v="0.46774193548387094"/>
    <n v="-0.89999999999999858"/>
  </r>
  <r>
    <d v="2022-01-02T00:00:00"/>
    <s v="S001"/>
    <s v="P0005"/>
    <x v="2"/>
    <s v="East"/>
    <n v="238"/>
    <n v="200"/>
    <n v="40"/>
    <n v="204.3"/>
    <n v="23.76"/>
    <n v="15"/>
    <s v="Sunny"/>
    <n v="1"/>
    <n v="19.190000000000001"/>
    <s v="Summer"/>
    <n v="0.84033613445378152"/>
    <n v="4.57"/>
  </r>
  <r>
    <d v="2022-01-02T00:00:00"/>
    <s v="S001"/>
    <s v="P0006"/>
    <x v="3"/>
    <s v="East"/>
    <n v="471"/>
    <n v="58"/>
    <n v="32"/>
    <n v="51.57"/>
    <n v="47.56"/>
    <n v="0"/>
    <s v="Snowy"/>
    <n v="1"/>
    <n v="46.82"/>
    <s v="Summer"/>
    <n v="0.12314225053078556"/>
    <n v="0.74000000000000199"/>
  </r>
  <r>
    <d v="2022-01-02T00:00:00"/>
    <s v="S001"/>
    <s v="P0007"/>
    <x v="2"/>
    <s v="North"/>
    <n v="178"/>
    <n v="56"/>
    <n v="149"/>
    <n v="60.3"/>
    <n v="17.100000000000001"/>
    <n v="5"/>
    <s v="Snowy"/>
    <n v="1"/>
    <n v="17"/>
    <s v="Autumn"/>
    <n v="0.3146067415730337"/>
    <n v="0.10000000000000142"/>
  </r>
  <r>
    <d v="2022-01-02T00:00:00"/>
    <s v="S001"/>
    <s v="P0008"/>
    <x v="4"/>
    <s v="East"/>
    <n v="92"/>
    <n v="74"/>
    <n v="121"/>
    <n v="67.040000000000006"/>
    <n v="58.89"/>
    <n v="5"/>
    <s v="Cloudy"/>
    <n v="0"/>
    <n v="61.56"/>
    <s v="Autumn"/>
    <n v="0.80434782608695654"/>
    <n v="-2.6700000000000017"/>
  </r>
  <r>
    <d v="2022-01-02T00:00:00"/>
    <s v="S001"/>
    <s v="P0009"/>
    <x v="1"/>
    <s v="South"/>
    <n v="99"/>
    <n v="54"/>
    <n v="182"/>
    <n v="70.599999999999994"/>
    <n v="99.76"/>
    <n v="20"/>
    <s v="Cloudy"/>
    <n v="0"/>
    <n v="95.61"/>
    <s v="Spring"/>
    <n v="0.54545454545454541"/>
    <n v="4.1500000000000057"/>
  </r>
  <r>
    <d v="2022-01-02T00:00:00"/>
    <s v="S001"/>
    <s v="P0010"/>
    <x v="4"/>
    <s v="North"/>
    <n v="171"/>
    <n v="39"/>
    <n v="163"/>
    <n v="47.8"/>
    <n v="11.44"/>
    <n v="5"/>
    <s v="Sunny"/>
    <n v="0"/>
    <n v="12.71"/>
    <s v="Summer"/>
    <n v="0.22807017543859648"/>
    <n v="-1.2700000000000014"/>
  </r>
  <r>
    <d v="2022-01-02T00:00:00"/>
    <s v="S001"/>
    <s v="P0011"/>
    <x v="3"/>
    <s v="East"/>
    <n v="215"/>
    <n v="12"/>
    <n v="173"/>
    <n v="16.920000000000002"/>
    <n v="53.84"/>
    <n v="0"/>
    <s v="Cloudy"/>
    <n v="1"/>
    <n v="53.79"/>
    <s v="Spring"/>
    <n v="5.5813953488372092E-2"/>
    <n v="5.0000000000004263E-2"/>
  </r>
  <r>
    <d v="2022-01-02T00:00:00"/>
    <s v="S001"/>
    <s v="P0012"/>
    <x v="3"/>
    <s v="East"/>
    <n v="281"/>
    <n v="56"/>
    <n v="187"/>
    <n v="70.709999999999994"/>
    <n v="57.84"/>
    <n v="5"/>
    <s v="Snowy"/>
    <n v="1"/>
    <n v="60.99"/>
    <s v="Summer"/>
    <n v="0.199288256227758"/>
    <n v="-3.1499999999999986"/>
  </r>
  <r>
    <d v="2022-01-02T00:00:00"/>
    <s v="S001"/>
    <s v="P0013"/>
    <x v="1"/>
    <s v="North"/>
    <n v="455"/>
    <n v="31"/>
    <n v="124"/>
    <n v="44.46"/>
    <n v="35.51"/>
    <n v="15"/>
    <s v="Cloudy"/>
    <n v="1"/>
    <n v="31.06"/>
    <s v="Autumn"/>
    <n v="6.8131868131868126E-2"/>
    <n v="4.4499999999999993"/>
  </r>
  <r>
    <d v="2022-01-02T00:00:00"/>
    <s v="S001"/>
    <s v="P0014"/>
    <x v="2"/>
    <s v="West"/>
    <n v="84"/>
    <n v="25"/>
    <n v="20"/>
    <n v="23.36"/>
    <n v="31.41"/>
    <n v="0"/>
    <s v="Cloudy"/>
    <n v="1"/>
    <n v="28.6"/>
    <s v="Spring"/>
    <n v="0.29761904761904762"/>
    <n v="2.8099999999999987"/>
  </r>
  <r>
    <d v="2022-01-02T00:00:00"/>
    <s v="S001"/>
    <s v="P0015"/>
    <x v="2"/>
    <s v="East"/>
    <n v="246"/>
    <n v="198"/>
    <n v="67"/>
    <n v="203.23"/>
    <n v="28.06"/>
    <n v="20"/>
    <s v="Cloudy"/>
    <n v="1"/>
    <n v="30.29"/>
    <s v="Winter"/>
    <n v="0.80487804878048785"/>
    <n v="-2.2300000000000004"/>
  </r>
  <r>
    <d v="2022-01-02T00:00:00"/>
    <s v="S001"/>
    <s v="P0016"/>
    <x v="2"/>
    <s v="West"/>
    <n v="399"/>
    <n v="77"/>
    <n v="147"/>
    <n v="67.55"/>
    <n v="35.67"/>
    <n v="15"/>
    <s v="Snowy"/>
    <n v="0"/>
    <n v="38.020000000000003"/>
    <s v="Summer"/>
    <n v="0.19298245614035087"/>
    <n v="-2.3500000000000014"/>
  </r>
  <r>
    <d v="2022-01-02T00:00:00"/>
    <s v="S001"/>
    <s v="P0017"/>
    <x v="3"/>
    <s v="West"/>
    <n v="242"/>
    <n v="165"/>
    <n v="105"/>
    <n v="181.86"/>
    <n v="28.18"/>
    <n v="5"/>
    <s v="Cloudy"/>
    <n v="0"/>
    <n v="27.5"/>
    <s v="Autumn"/>
    <n v="0.68181818181818177"/>
    <n v="0.67999999999999972"/>
  </r>
  <r>
    <d v="2022-01-02T00:00:00"/>
    <s v="S001"/>
    <s v="P0018"/>
    <x v="1"/>
    <s v="North"/>
    <n v="478"/>
    <n v="42"/>
    <n v="168"/>
    <n v="55.16"/>
    <n v="74.42"/>
    <n v="5"/>
    <s v="Snowy"/>
    <n v="0"/>
    <n v="69.67"/>
    <s v="Summer"/>
    <n v="8.7866108786610872E-2"/>
    <n v="4.75"/>
  </r>
  <r>
    <d v="2022-01-02T00:00:00"/>
    <s v="S001"/>
    <s v="P0019"/>
    <x v="3"/>
    <s v="South"/>
    <n v="156"/>
    <n v="8"/>
    <n v="67"/>
    <n v="24.41"/>
    <n v="91.95"/>
    <n v="5"/>
    <s v="Cloudy"/>
    <n v="1"/>
    <n v="87.43"/>
    <s v="Spring"/>
    <n v="5.128205128205128E-2"/>
    <n v="4.519999999999996"/>
  </r>
  <r>
    <d v="2022-01-02T00:00:00"/>
    <s v="S001"/>
    <s v="P0020"/>
    <x v="2"/>
    <s v="North"/>
    <n v="221"/>
    <n v="174"/>
    <n v="168"/>
    <n v="187.49"/>
    <n v="97.88"/>
    <n v="0"/>
    <s v="Snowy"/>
    <n v="0"/>
    <n v="99.5"/>
    <s v="Autumn"/>
    <n v="0.78733031674208143"/>
    <n v="-1.6200000000000045"/>
  </r>
  <r>
    <d v="2022-01-02T00:00:00"/>
    <s v="S002"/>
    <s v="P0001"/>
    <x v="2"/>
    <s v="West"/>
    <n v="402"/>
    <n v="343"/>
    <n v="141"/>
    <n v="339.04"/>
    <n v="66.569999999999993"/>
    <n v="20"/>
    <s v="Rainy"/>
    <n v="1"/>
    <n v="63.92"/>
    <s v="Summer"/>
    <n v="0.85323383084577109"/>
    <n v="2.6499999999999915"/>
  </r>
  <r>
    <d v="2022-01-02T00:00:00"/>
    <s v="S002"/>
    <s v="P0002"/>
    <x v="3"/>
    <s v="West"/>
    <n v="132"/>
    <n v="71"/>
    <n v="60"/>
    <n v="82.44"/>
    <n v="90.36"/>
    <n v="5"/>
    <s v="Rainy"/>
    <n v="0"/>
    <n v="86.73"/>
    <s v="Winter"/>
    <n v="0.53787878787878785"/>
    <n v="3.6299999999999955"/>
  </r>
  <r>
    <d v="2022-01-02T00:00:00"/>
    <s v="S002"/>
    <s v="P0003"/>
    <x v="0"/>
    <s v="West"/>
    <n v="218"/>
    <n v="157"/>
    <n v="31"/>
    <n v="153.41999999999999"/>
    <n v="92.24"/>
    <n v="5"/>
    <s v="Snowy"/>
    <n v="1"/>
    <n v="89.57"/>
    <s v="Autumn"/>
    <n v="0.72018348623853212"/>
    <n v="2.6700000000000017"/>
  </r>
  <r>
    <d v="2022-01-02T00:00:00"/>
    <s v="S002"/>
    <s v="P0004"/>
    <x v="0"/>
    <s v="South"/>
    <n v="131"/>
    <n v="88"/>
    <n v="109"/>
    <n v="100.61"/>
    <n v="68.709999999999994"/>
    <n v="0"/>
    <s v="Snowy"/>
    <n v="0"/>
    <n v="69.34"/>
    <s v="Spring"/>
    <n v="0.6717557251908397"/>
    <n v="-0.63000000000000966"/>
  </r>
  <r>
    <d v="2022-01-02T00:00:00"/>
    <s v="S002"/>
    <s v="P0005"/>
    <x v="0"/>
    <s v="North"/>
    <n v="93"/>
    <n v="64"/>
    <n v="128"/>
    <n v="57.53"/>
    <n v="87.22"/>
    <n v="5"/>
    <s v="Cloudy"/>
    <n v="1"/>
    <n v="90.59"/>
    <s v="Spring"/>
    <n v="0.68817204301075274"/>
    <n v="-3.3700000000000045"/>
  </r>
  <r>
    <d v="2022-01-02T00:00:00"/>
    <s v="S002"/>
    <s v="P0006"/>
    <x v="0"/>
    <s v="East"/>
    <n v="344"/>
    <n v="273"/>
    <n v="154"/>
    <n v="273.10000000000002"/>
    <n v="79.38"/>
    <n v="0"/>
    <s v="Rainy"/>
    <n v="0"/>
    <n v="77.28"/>
    <s v="Autumn"/>
    <n v="0.79360465116279066"/>
    <n v="2.0999999999999943"/>
  </r>
  <r>
    <d v="2022-01-02T00:00:00"/>
    <s v="S002"/>
    <s v="P0007"/>
    <x v="0"/>
    <s v="North"/>
    <n v="340"/>
    <n v="247"/>
    <n v="148"/>
    <n v="264.18"/>
    <n v="17.41"/>
    <n v="15"/>
    <s v="Snowy"/>
    <n v="0"/>
    <n v="13.57"/>
    <s v="Summer"/>
    <n v="0.72647058823529409"/>
    <n v="3.84"/>
  </r>
  <r>
    <d v="2022-01-02T00:00:00"/>
    <s v="S002"/>
    <s v="P0008"/>
    <x v="2"/>
    <s v="North"/>
    <n v="241"/>
    <n v="42"/>
    <n v="187"/>
    <n v="46.32"/>
    <n v="14.8"/>
    <n v="15"/>
    <s v="Sunny"/>
    <n v="1"/>
    <n v="13.94"/>
    <s v="Spring"/>
    <n v="0.17427385892116182"/>
    <n v="0.86000000000000121"/>
  </r>
  <r>
    <d v="2022-01-02T00:00:00"/>
    <s v="S002"/>
    <s v="P0009"/>
    <x v="2"/>
    <s v="North"/>
    <n v="296"/>
    <n v="197"/>
    <n v="157"/>
    <n v="195.61"/>
    <n v="30.5"/>
    <n v="0"/>
    <s v="Sunny"/>
    <n v="0"/>
    <n v="28.86"/>
    <s v="Spring"/>
    <n v="0.66554054054054057"/>
    <n v="1.6400000000000006"/>
  </r>
  <r>
    <d v="2022-01-02T00:00:00"/>
    <s v="S002"/>
    <s v="P0010"/>
    <x v="0"/>
    <s v="West"/>
    <n v="472"/>
    <n v="374"/>
    <n v="65"/>
    <n v="387.41"/>
    <n v="27.84"/>
    <n v="15"/>
    <s v="Cloudy"/>
    <n v="1"/>
    <n v="32"/>
    <s v="Spring"/>
    <n v="0.7923728813559322"/>
    <n v="-4.16"/>
  </r>
  <r>
    <d v="2022-01-02T00:00:00"/>
    <s v="S002"/>
    <s v="P0011"/>
    <x v="3"/>
    <s v="East"/>
    <n v="308"/>
    <n v="154"/>
    <n v="22"/>
    <n v="169.13"/>
    <n v="88.62"/>
    <n v="0"/>
    <s v="Cloudy"/>
    <n v="0"/>
    <n v="86.3"/>
    <s v="Winter"/>
    <n v="0.5"/>
    <n v="2.3200000000000074"/>
  </r>
  <r>
    <d v="2022-01-02T00:00:00"/>
    <s v="S002"/>
    <s v="P0012"/>
    <x v="1"/>
    <s v="North"/>
    <n v="434"/>
    <n v="236"/>
    <n v="30"/>
    <n v="239.09"/>
    <n v="82.35"/>
    <n v="20"/>
    <s v="Rainy"/>
    <n v="0"/>
    <n v="83.13"/>
    <s v="Autumn"/>
    <n v="0.54377880184331795"/>
    <n v="-0.78000000000000114"/>
  </r>
  <r>
    <d v="2022-01-02T00:00:00"/>
    <s v="S002"/>
    <s v="P0013"/>
    <x v="1"/>
    <s v="North"/>
    <n v="287"/>
    <n v="278"/>
    <n v="92"/>
    <n v="279.91000000000003"/>
    <n v="92.57"/>
    <n v="10"/>
    <s v="Sunny"/>
    <n v="1"/>
    <n v="97.09"/>
    <s v="Summer"/>
    <n v="0.96864111498257843"/>
    <n v="-4.5200000000000102"/>
  </r>
  <r>
    <d v="2022-01-02T00:00:00"/>
    <s v="S002"/>
    <s v="P0014"/>
    <x v="3"/>
    <s v="West"/>
    <n v="190"/>
    <n v="27"/>
    <n v="134"/>
    <n v="31.53"/>
    <n v="94.38"/>
    <n v="5"/>
    <s v="Rainy"/>
    <n v="0"/>
    <n v="89.47"/>
    <s v="Autumn"/>
    <n v="0.14210526315789473"/>
    <n v="4.9099999999999966"/>
  </r>
  <r>
    <d v="2022-01-02T00:00:00"/>
    <s v="S002"/>
    <s v="P0015"/>
    <x v="1"/>
    <s v="North"/>
    <n v="353"/>
    <n v="106"/>
    <n v="191"/>
    <n v="110.49"/>
    <n v="70.59"/>
    <n v="0"/>
    <s v="Cloudy"/>
    <n v="1"/>
    <n v="75.27"/>
    <s v="Winter"/>
    <n v="0.3002832861189802"/>
    <n v="-4.6799999999999926"/>
  </r>
  <r>
    <d v="2022-01-02T00:00:00"/>
    <s v="S002"/>
    <s v="P0016"/>
    <x v="1"/>
    <s v="West"/>
    <n v="210"/>
    <n v="154"/>
    <n v="70"/>
    <n v="166.83"/>
    <n v="63.13"/>
    <n v="10"/>
    <s v="Sunny"/>
    <n v="0"/>
    <n v="67.23"/>
    <s v="Autumn"/>
    <n v="0.73333333333333328"/>
    <n v="-4.1000000000000014"/>
  </r>
  <r>
    <d v="2022-01-02T00:00:00"/>
    <s v="S002"/>
    <s v="P0017"/>
    <x v="4"/>
    <s v="West"/>
    <n v="193"/>
    <n v="176"/>
    <n v="38"/>
    <n v="174.49"/>
    <n v="46.04"/>
    <n v="5"/>
    <s v="Rainy"/>
    <n v="1"/>
    <n v="41.4"/>
    <s v="Autumn"/>
    <n v="0.91191709844559588"/>
    <n v="4.6400000000000006"/>
  </r>
  <r>
    <d v="2022-01-02T00:00:00"/>
    <s v="S002"/>
    <s v="P0018"/>
    <x v="0"/>
    <s v="East"/>
    <n v="124"/>
    <n v="124"/>
    <n v="46"/>
    <n v="116.05"/>
    <n v="21.07"/>
    <n v="10"/>
    <s v="Sunny"/>
    <n v="0"/>
    <n v="21.71"/>
    <s v="Autumn"/>
    <n v="1"/>
    <n v="-0.64000000000000057"/>
  </r>
  <r>
    <d v="2022-01-02T00:00:00"/>
    <s v="S002"/>
    <s v="P0019"/>
    <x v="1"/>
    <s v="East"/>
    <n v="492"/>
    <n v="479"/>
    <n v="132"/>
    <n v="469.74"/>
    <n v="79.11"/>
    <n v="0"/>
    <s v="Cloudy"/>
    <n v="0"/>
    <n v="80.06"/>
    <s v="Winter"/>
    <n v="0.97357723577235777"/>
    <n v="-0.95000000000000284"/>
  </r>
  <r>
    <d v="2022-01-02T00:00:00"/>
    <s v="S002"/>
    <s v="P0020"/>
    <x v="4"/>
    <s v="South"/>
    <n v="222"/>
    <n v="78"/>
    <n v="42"/>
    <n v="76.55"/>
    <n v="64.989999999999995"/>
    <n v="0"/>
    <s v="Sunny"/>
    <n v="1"/>
    <n v="65.400000000000006"/>
    <s v="Summer"/>
    <n v="0.35135135135135137"/>
    <n v="-0.4100000000000108"/>
  </r>
  <r>
    <d v="2022-01-02T00:00:00"/>
    <s v="S003"/>
    <s v="P0001"/>
    <x v="1"/>
    <s v="West"/>
    <n v="277"/>
    <n v="114"/>
    <n v="40"/>
    <n v="132.41"/>
    <n v="73.48"/>
    <n v="10"/>
    <s v="Cloudy"/>
    <n v="0"/>
    <n v="72.55"/>
    <s v="Autumn"/>
    <n v="0.41155234657039713"/>
    <n v="0.93000000000000682"/>
  </r>
  <r>
    <d v="2022-01-02T00:00:00"/>
    <s v="S003"/>
    <s v="P0002"/>
    <x v="0"/>
    <s v="East"/>
    <n v="175"/>
    <n v="2"/>
    <n v="140"/>
    <n v="-3.4"/>
    <n v="87.5"/>
    <n v="0"/>
    <s v="Rainy"/>
    <n v="0"/>
    <n v="91.2"/>
    <s v="Autumn"/>
    <n v="1.1428571428571429E-2"/>
    <n v="-3.7000000000000028"/>
  </r>
  <r>
    <d v="2022-01-02T00:00:00"/>
    <s v="S003"/>
    <s v="P0003"/>
    <x v="1"/>
    <s v="East"/>
    <n v="157"/>
    <n v="7"/>
    <n v="187"/>
    <n v="22.8"/>
    <n v="88.68"/>
    <n v="20"/>
    <s v="Cloudy"/>
    <n v="1"/>
    <n v="87.38"/>
    <s v="Autumn"/>
    <n v="4.4585987261146494E-2"/>
    <n v="1.3000000000000114"/>
  </r>
  <r>
    <d v="2022-01-02T00:00:00"/>
    <s v="S003"/>
    <s v="P0004"/>
    <x v="3"/>
    <s v="West"/>
    <n v="120"/>
    <n v="54"/>
    <n v="154"/>
    <n v="49.64"/>
    <n v="82.36"/>
    <n v="20"/>
    <s v="Snowy"/>
    <n v="0"/>
    <n v="85.85"/>
    <s v="Autumn"/>
    <n v="0.45"/>
    <n v="-3.4899999999999949"/>
  </r>
  <r>
    <d v="2022-01-02T00:00:00"/>
    <s v="S003"/>
    <s v="P0005"/>
    <x v="3"/>
    <s v="East"/>
    <n v="375"/>
    <n v="282"/>
    <n v="61"/>
    <n v="297.42"/>
    <n v="38.56"/>
    <n v="5"/>
    <s v="Cloudy"/>
    <n v="0"/>
    <n v="36.57"/>
    <s v="Winter"/>
    <n v="0.752"/>
    <n v="1.990000000000002"/>
  </r>
  <r>
    <d v="2022-01-02T00:00:00"/>
    <s v="S003"/>
    <s v="P0006"/>
    <x v="0"/>
    <s v="East"/>
    <n v="302"/>
    <n v="93"/>
    <n v="33"/>
    <n v="106.58"/>
    <n v="97.74"/>
    <n v="0"/>
    <s v="Cloudy"/>
    <n v="0"/>
    <n v="97.69"/>
    <s v="Winter"/>
    <n v="0.30794701986754969"/>
    <n v="4.9999999999997158E-2"/>
  </r>
  <r>
    <d v="2022-01-02T00:00:00"/>
    <s v="S003"/>
    <s v="P0007"/>
    <x v="2"/>
    <s v="West"/>
    <n v="375"/>
    <n v="85"/>
    <n v="40"/>
    <n v="85.31"/>
    <n v="37.68"/>
    <n v="15"/>
    <s v="Cloudy"/>
    <n v="0"/>
    <n v="36.72"/>
    <s v="Autumn"/>
    <n v="0.22666666666666666"/>
    <n v="0.96000000000000085"/>
  </r>
  <r>
    <d v="2022-01-02T00:00:00"/>
    <s v="S003"/>
    <s v="P0008"/>
    <x v="4"/>
    <s v="South"/>
    <n v="248"/>
    <n v="136"/>
    <n v="50"/>
    <n v="130.52000000000001"/>
    <n v="36.03"/>
    <n v="5"/>
    <s v="Rainy"/>
    <n v="0"/>
    <n v="37.49"/>
    <s v="Spring"/>
    <n v="0.54838709677419351"/>
    <n v="-1.4600000000000009"/>
  </r>
  <r>
    <d v="2022-01-02T00:00:00"/>
    <s v="S003"/>
    <s v="P0009"/>
    <x v="2"/>
    <s v="West"/>
    <n v="219"/>
    <n v="140"/>
    <n v="196"/>
    <n v="139.46"/>
    <n v="88.97"/>
    <n v="0"/>
    <s v="Snowy"/>
    <n v="1"/>
    <n v="91.53"/>
    <s v="Spring"/>
    <n v="0.63926940639269403"/>
    <n v="-2.5600000000000023"/>
  </r>
  <r>
    <d v="2022-01-02T00:00:00"/>
    <s v="S003"/>
    <s v="P0010"/>
    <x v="3"/>
    <s v="West"/>
    <n v="146"/>
    <n v="79"/>
    <n v="155"/>
    <n v="94.23"/>
    <n v="16.48"/>
    <n v="10"/>
    <s v="Cloudy"/>
    <n v="1"/>
    <n v="21.42"/>
    <s v="Spring"/>
    <n v="0.54109589041095896"/>
    <n v="-4.9400000000000013"/>
  </r>
  <r>
    <d v="2022-01-02T00:00:00"/>
    <s v="S003"/>
    <s v="P0011"/>
    <x v="3"/>
    <s v="South"/>
    <n v="218"/>
    <n v="106"/>
    <n v="111"/>
    <n v="117.65"/>
    <n v="58.37"/>
    <n v="10"/>
    <s v="Cloudy"/>
    <n v="1"/>
    <n v="58.1"/>
    <s v="Autumn"/>
    <n v="0.48623853211009177"/>
    <n v="0.26999999999999602"/>
  </r>
  <r>
    <d v="2022-01-02T00:00:00"/>
    <s v="S003"/>
    <s v="P0012"/>
    <x v="0"/>
    <s v="West"/>
    <n v="260"/>
    <n v="1"/>
    <n v="142"/>
    <n v="1.99"/>
    <n v="27.86"/>
    <n v="5"/>
    <s v="Snowy"/>
    <n v="1"/>
    <n v="31.78"/>
    <s v="Winter"/>
    <n v="3.8461538461538464E-3"/>
    <n v="-3.9200000000000017"/>
  </r>
  <r>
    <d v="2022-01-02T00:00:00"/>
    <s v="S003"/>
    <s v="P0013"/>
    <x v="2"/>
    <s v="West"/>
    <n v="414"/>
    <n v="203"/>
    <n v="53"/>
    <n v="206.35"/>
    <n v="39.14"/>
    <n v="5"/>
    <s v="Rainy"/>
    <n v="1"/>
    <n v="35.299999999999997"/>
    <s v="Autumn"/>
    <n v="0.49033816425120774"/>
    <n v="3.8400000000000034"/>
  </r>
  <r>
    <d v="2022-01-02T00:00:00"/>
    <s v="S003"/>
    <s v="P0014"/>
    <x v="1"/>
    <s v="North"/>
    <n v="420"/>
    <n v="368"/>
    <n v="71"/>
    <n v="384.47"/>
    <n v="66.510000000000005"/>
    <n v="0"/>
    <s v="Cloudy"/>
    <n v="0"/>
    <n v="70.84"/>
    <s v="Spring"/>
    <n v="0.87619047619047619"/>
    <n v="-4.3299999999999983"/>
  </r>
  <r>
    <d v="2022-01-02T00:00:00"/>
    <s v="S003"/>
    <s v="P0015"/>
    <x v="2"/>
    <s v="East"/>
    <n v="435"/>
    <n v="286"/>
    <n v="159"/>
    <n v="283.25"/>
    <n v="89.65"/>
    <n v="20"/>
    <s v="Snowy"/>
    <n v="0"/>
    <n v="84.99"/>
    <s v="Winter"/>
    <n v="0.65747126436781611"/>
    <n v="4.6600000000000108"/>
  </r>
  <r>
    <d v="2022-01-02T00:00:00"/>
    <s v="S003"/>
    <s v="P0016"/>
    <x v="4"/>
    <s v="South"/>
    <n v="230"/>
    <n v="69"/>
    <n v="173"/>
    <n v="70.77"/>
    <n v="86.7"/>
    <n v="20"/>
    <s v="Rainy"/>
    <n v="0"/>
    <n v="91.05"/>
    <s v="Spring"/>
    <n v="0.3"/>
    <n v="-4.3499999999999943"/>
  </r>
  <r>
    <d v="2022-01-02T00:00:00"/>
    <s v="S003"/>
    <s v="P0017"/>
    <x v="1"/>
    <s v="South"/>
    <n v="456"/>
    <n v="52"/>
    <n v="78"/>
    <n v="65.67"/>
    <n v="29.69"/>
    <n v="20"/>
    <s v="Snowy"/>
    <n v="0"/>
    <n v="25.27"/>
    <s v="Summer"/>
    <n v="0.11403508771929824"/>
    <n v="4.4200000000000017"/>
  </r>
  <r>
    <d v="2022-01-02T00:00:00"/>
    <s v="S003"/>
    <s v="P0018"/>
    <x v="1"/>
    <s v="East"/>
    <n v="319"/>
    <n v="109"/>
    <n v="83"/>
    <n v="126.67"/>
    <n v="86.93"/>
    <n v="10"/>
    <s v="Rainy"/>
    <n v="1"/>
    <n v="82.59"/>
    <s v="Winter"/>
    <n v="0.34169278996865204"/>
    <n v="4.3400000000000034"/>
  </r>
  <r>
    <d v="2022-01-02T00:00:00"/>
    <s v="S003"/>
    <s v="P0019"/>
    <x v="3"/>
    <s v="North"/>
    <n v="59"/>
    <n v="50"/>
    <n v="135"/>
    <n v="44.37"/>
    <n v="59.33"/>
    <n v="10"/>
    <s v="Cloudy"/>
    <n v="0"/>
    <n v="54.98"/>
    <s v="Spring"/>
    <n v="0.84745762711864403"/>
    <n v="4.3500000000000014"/>
  </r>
  <r>
    <d v="2022-01-02T00:00:00"/>
    <s v="S003"/>
    <s v="P0020"/>
    <x v="2"/>
    <s v="East"/>
    <n v="155"/>
    <n v="0"/>
    <n v="92"/>
    <n v="9.42"/>
    <n v="57.07"/>
    <n v="10"/>
    <s v="Rainy"/>
    <n v="1"/>
    <n v="53.34"/>
    <s v="Summer"/>
    <n v="0"/>
    <n v="3.7299999999999969"/>
  </r>
  <r>
    <d v="2022-01-02T00:00:00"/>
    <s v="S004"/>
    <s v="P0001"/>
    <x v="2"/>
    <s v="North"/>
    <n v="144"/>
    <n v="22"/>
    <n v="45"/>
    <n v="39.119999999999997"/>
    <n v="74.16"/>
    <n v="15"/>
    <s v="Rainy"/>
    <n v="0"/>
    <n v="69.739999999999995"/>
    <s v="Autumn"/>
    <n v="0.15277777777777779"/>
    <n v="4.4200000000000017"/>
  </r>
  <r>
    <d v="2022-01-02T00:00:00"/>
    <s v="S004"/>
    <s v="P0002"/>
    <x v="2"/>
    <s v="East"/>
    <n v="283"/>
    <n v="45"/>
    <n v="156"/>
    <n v="46.65"/>
    <n v="59.38"/>
    <n v="0"/>
    <s v="Sunny"/>
    <n v="1"/>
    <n v="62.4"/>
    <s v="Spring"/>
    <n v="0.15901060070671377"/>
    <n v="-3.019999999999996"/>
  </r>
  <r>
    <d v="2022-01-02T00:00:00"/>
    <s v="S004"/>
    <s v="P0003"/>
    <x v="4"/>
    <s v="East"/>
    <n v="347"/>
    <n v="89"/>
    <n v="122"/>
    <n v="87.77"/>
    <n v="48.18"/>
    <n v="0"/>
    <s v="Sunny"/>
    <n v="1"/>
    <n v="49.64"/>
    <s v="Spring"/>
    <n v="0.25648414985590778"/>
    <n v="-1.4600000000000009"/>
  </r>
  <r>
    <d v="2022-01-02T00:00:00"/>
    <s v="S004"/>
    <s v="P0004"/>
    <x v="0"/>
    <s v="East"/>
    <n v="410"/>
    <n v="209"/>
    <n v="128"/>
    <n v="224.66"/>
    <n v="94.75"/>
    <n v="20"/>
    <s v="Snowy"/>
    <n v="0"/>
    <n v="90.1"/>
    <s v="Autumn"/>
    <n v="0.50975609756097562"/>
    <n v="4.6500000000000057"/>
  </r>
  <r>
    <d v="2022-01-02T00:00:00"/>
    <s v="S004"/>
    <s v="P0005"/>
    <x v="1"/>
    <s v="West"/>
    <n v="99"/>
    <n v="4"/>
    <n v="76"/>
    <n v="14.91"/>
    <n v="60.89"/>
    <n v="5"/>
    <s v="Sunny"/>
    <n v="0"/>
    <n v="59.42"/>
    <s v="Autumn"/>
    <n v="4.0404040404040407E-2"/>
    <n v="1.4699999999999989"/>
  </r>
  <r>
    <d v="2022-01-02T00:00:00"/>
    <s v="S004"/>
    <s v="P0006"/>
    <x v="1"/>
    <s v="East"/>
    <n v="97"/>
    <n v="47"/>
    <n v="138"/>
    <n v="52.02"/>
    <n v="14.71"/>
    <n v="5"/>
    <s v="Cloudy"/>
    <n v="0"/>
    <n v="16.850000000000001"/>
    <s v="Autumn"/>
    <n v="0.4845360824742268"/>
    <n v="-2.1400000000000006"/>
  </r>
  <r>
    <d v="2022-01-02T00:00:00"/>
    <s v="S004"/>
    <s v="P0007"/>
    <x v="3"/>
    <s v="West"/>
    <n v="339"/>
    <n v="115"/>
    <n v="95"/>
    <n v="124.22"/>
    <n v="33.090000000000003"/>
    <n v="10"/>
    <s v="Rainy"/>
    <n v="0"/>
    <n v="28.55"/>
    <s v="Spring"/>
    <n v="0.33923303834808261"/>
    <n v="4.5400000000000027"/>
  </r>
  <r>
    <d v="2022-01-02T00:00:00"/>
    <s v="S004"/>
    <s v="P0008"/>
    <x v="1"/>
    <s v="South"/>
    <n v="144"/>
    <n v="27"/>
    <n v="119"/>
    <n v="21.73"/>
    <n v="98.75"/>
    <n v="15"/>
    <s v="Snowy"/>
    <n v="0"/>
    <n v="102.7"/>
    <s v="Summer"/>
    <n v="0.1875"/>
    <n v="-3.9500000000000028"/>
  </r>
  <r>
    <d v="2022-01-02T00:00:00"/>
    <s v="S004"/>
    <s v="P0009"/>
    <x v="3"/>
    <s v="South"/>
    <n v="110"/>
    <n v="90"/>
    <n v="28"/>
    <n v="103.6"/>
    <n v="12.4"/>
    <n v="20"/>
    <s v="Snowy"/>
    <n v="0"/>
    <n v="8.56"/>
    <s v="Autumn"/>
    <n v="0.81818181818181823"/>
    <n v="3.84"/>
  </r>
  <r>
    <d v="2022-01-02T00:00:00"/>
    <s v="S004"/>
    <s v="P0010"/>
    <x v="0"/>
    <s v="South"/>
    <n v="348"/>
    <n v="206"/>
    <n v="67"/>
    <n v="214.99"/>
    <n v="92.01"/>
    <n v="15"/>
    <s v="Snowy"/>
    <n v="1"/>
    <n v="87.81"/>
    <s v="Autumn"/>
    <n v="0.59195402298850575"/>
    <n v="4.2000000000000028"/>
  </r>
  <r>
    <d v="2022-01-02T00:00:00"/>
    <s v="S004"/>
    <s v="P0011"/>
    <x v="1"/>
    <s v="East"/>
    <n v="458"/>
    <n v="328"/>
    <n v="144"/>
    <n v="339.54"/>
    <n v="92.12"/>
    <n v="20"/>
    <s v="Sunny"/>
    <n v="1"/>
    <n v="87.37"/>
    <s v="Spring"/>
    <n v="0.71615720524017468"/>
    <n v="4.75"/>
  </r>
  <r>
    <d v="2022-01-02T00:00:00"/>
    <s v="S004"/>
    <s v="P0012"/>
    <x v="0"/>
    <s v="South"/>
    <n v="403"/>
    <n v="155"/>
    <n v="24"/>
    <n v="145.99"/>
    <n v="37.39"/>
    <n v="20"/>
    <s v="Sunny"/>
    <n v="0"/>
    <n v="38.71"/>
    <s v="Spring"/>
    <n v="0.38461538461538464"/>
    <n v="-1.3200000000000003"/>
  </r>
  <r>
    <d v="2022-01-02T00:00:00"/>
    <s v="S004"/>
    <s v="P0013"/>
    <x v="4"/>
    <s v="West"/>
    <n v="198"/>
    <n v="184"/>
    <n v="161"/>
    <n v="191.55"/>
    <n v="85.35"/>
    <n v="10"/>
    <s v="Rainy"/>
    <n v="1"/>
    <n v="80.790000000000006"/>
    <s v="Spring"/>
    <n v="0.92929292929292928"/>
    <n v="4.5599999999999881"/>
  </r>
  <r>
    <d v="2022-01-02T00:00:00"/>
    <s v="S004"/>
    <s v="P0014"/>
    <x v="2"/>
    <s v="East"/>
    <n v="472"/>
    <n v="16"/>
    <n v="166"/>
    <n v="28.75"/>
    <n v="82.64"/>
    <n v="0"/>
    <s v="Cloudy"/>
    <n v="0"/>
    <n v="78.349999999999994"/>
    <s v="Autumn"/>
    <n v="3.3898305084745763E-2"/>
    <n v="4.2900000000000063"/>
  </r>
  <r>
    <d v="2022-01-02T00:00:00"/>
    <s v="S004"/>
    <s v="P0015"/>
    <x v="1"/>
    <s v="North"/>
    <n v="178"/>
    <n v="90"/>
    <n v="79"/>
    <n v="98.56"/>
    <n v="92.19"/>
    <n v="10"/>
    <s v="Snowy"/>
    <n v="1"/>
    <n v="97.07"/>
    <s v="Summer"/>
    <n v="0.5056179775280899"/>
    <n v="-4.8799999999999955"/>
  </r>
  <r>
    <d v="2022-01-02T00:00:00"/>
    <s v="S004"/>
    <s v="P0016"/>
    <x v="4"/>
    <s v="West"/>
    <n v="215"/>
    <n v="178"/>
    <n v="111"/>
    <n v="180.76"/>
    <n v="61.41"/>
    <n v="0"/>
    <s v="Sunny"/>
    <n v="0"/>
    <n v="61.32"/>
    <s v="Spring"/>
    <n v="0.82790697674418601"/>
    <n v="8.9999999999996305E-2"/>
  </r>
  <r>
    <d v="2022-01-02T00:00:00"/>
    <s v="S004"/>
    <s v="P0017"/>
    <x v="2"/>
    <s v="South"/>
    <n v="477"/>
    <n v="256"/>
    <n v="150"/>
    <n v="254.89"/>
    <n v="96.47"/>
    <n v="20"/>
    <s v="Cloudy"/>
    <n v="0"/>
    <n v="93.35"/>
    <s v="Spring"/>
    <n v="0.5366876310272537"/>
    <n v="3.1200000000000045"/>
  </r>
  <r>
    <d v="2022-01-02T00:00:00"/>
    <s v="S004"/>
    <s v="P0018"/>
    <x v="3"/>
    <s v="South"/>
    <n v="198"/>
    <n v="27"/>
    <n v="62"/>
    <n v="25.51"/>
    <n v="89.33"/>
    <n v="0"/>
    <s v="Sunny"/>
    <n v="0"/>
    <n v="89.63"/>
    <s v="Spring"/>
    <n v="0.13636363636363635"/>
    <n v="-0.29999999999999716"/>
  </r>
  <r>
    <d v="2022-01-02T00:00:00"/>
    <s v="S004"/>
    <s v="P0019"/>
    <x v="0"/>
    <s v="North"/>
    <n v="110"/>
    <n v="67"/>
    <n v="83"/>
    <n v="79.41"/>
    <n v="59.49"/>
    <n v="20"/>
    <s v="Rainy"/>
    <n v="1"/>
    <n v="57.55"/>
    <s v="Spring"/>
    <n v="0.60909090909090913"/>
    <n v="1.9400000000000048"/>
  </r>
  <r>
    <d v="2022-01-02T00:00:00"/>
    <s v="S004"/>
    <s v="P0020"/>
    <x v="2"/>
    <s v="North"/>
    <n v="254"/>
    <n v="84"/>
    <n v="112"/>
    <n v="77.150000000000006"/>
    <n v="73.05"/>
    <n v="15"/>
    <s v="Sunny"/>
    <n v="1"/>
    <n v="74.55"/>
    <s v="Autumn"/>
    <n v="0.33070866141732286"/>
    <n v="-1.5"/>
  </r>
  <r>
    <d v="2022-01-02T00:00:00"/>
    <s v="S005"/>
    <s v="P0001"/>
    <x v="0"/>
    <s v="East"/>
    <n v="223"/>
    <n v="67"/>
    <n v="53"/>
    <n v="74.8"/>
    <n v="67.489999999999995"/>
    <n v="5"/>
    <s v="Sunny"/>
    <n v="0"/>
    <n v="65.239999999999995"/>
    <s v="Winter"/>
    <n v="0.30044843049327352"/>
    <n v="2.25"/>
  </r>
  <r>
    <d v="2022-01-02T00:00:00"/>
    <s v="S005"/>
    <s v="P0002"/>
    <x v="3"/>
    <s v="West"/>
    <n v="100"/>
    <n v="15"/>
    <n v="114"/>
    <n v="28.97"/>
    <n v="66.05"/>
    <n v="10"/>
    <s v="Sunny"/>
    <n v="1"/>
    <n v="65.16"/>
    <s v="Autumn"/>
    <n v="0.15"/>
    <n v="0.89000000000000057"/>
  </r>
  <r>
    <d v="2022-01-02T00:00:00"/>
    <s v="S005"/>
    <s v="P0003"/>
    <x v="1"/>
    <s v="West"/>
    <n v="397"/>
    <n v="333"/>
    <n v="35"/>
    <n v="336.02"/>
    <n v="80.88"/>
    <n v="20"/>
    <s v="Rainy"/>
    <n v="1"/>
    <n v="84.97"/>
    <s v="Winter"/>
    <n v="0.83879093198992438"/>
    <n v="-4.0900000000000034"/>
  </r>
  <r>
    <d v="2022-01-02T00:00:00"/>
    <s v="S005"/>
    <s v="P0004"/>
    <x v="0"/>
    <s v="North"/>
    <n v="442"/>
    <n v="56"/>
    <n v="38"/>
    <n v="54.08"/>
    <n v="60.5"/>
    <n v="10"/>
    <s v="Cloudy"/>
    <n v="1"/>
    <n v="64.88"/>
    <s v="Spring"/>
    <n v="0.12669683257918551"/>
    <n v="-4.3799999999999955"/>
  </r>
  <r>
    <d v="2022-01-02T00:00:00"/>
    <s v="S005"/>
    <s v="P0005"/>
    <x v="3"/>
    <s v="West"/>
    <n v="411"/>
    <n v="165"/>
    <n v="194"/>
    <n v="172.41"/>
    <n v="71.72"/>
    <n v="20"/>
    <s v="Rainy"/>
    <n v="0"/>
    <n v="75.17"/>
    <s v="Autumn"/>
    <n v="0.40145985401459855"/>
    <n v="-3.4500000000000028"/>
  </r>
  <r>
    <d v="2022-01-02T00:00:00"/>
    <s v="S005"/>
    <s v="P0006"/>
    <x v="4"/>
    <s v="North"/>
    <n v="76"/>
    <n v="54"/>
    <n v="175"/>
    <n v="49.32"/>
    <n v="69.209999999999994"/>
    <n v="15"/>
    <s v="Rainy"/>
    <n v="1"/>
    <n v="71.17"/>
    <s v="Summer"/>
    <n v="0.71052631578947367"/>
    <n v="-1.960000000000008"/>
  </r>
  <r>
    <d v="2022-01-02T00:00:00"/>
    <s v="S005"/>
    <s v="P0007"/>
    <x v="4"/>
    <s v="East"/>
    <n v="257"/>
    <n v="93"/>
    <n v="148"/>
    <n v="84.69"/>
    <n v="70.69"/>
    <n v="20"/>
    <s v="Snowy"/>
    <n v="0"/>
    <n v="71.37"/>
    <s v="Winter"/>
    <n v="0.36186770428015563"/>
    <n v="-0.68000000000000682"/>
  </r>
  <r>
    <d v="2022-01-02T00:00:00"/>
    <s v="S005"/>
    <s v="P0008"/>
    <x v="3"/>
    <s v="East"/>
    <n v="353"/>
    <n v="250"/>
    <n v="57"/>
    <n v="254.75"/>
    <n v="63.54"/>
    <n v="15"/>
    <s v="Cloudy"/>
    <n v="0"/>
    <n v="61.05"/>
    <s v="Summer"/>
    <n v="0.70821529745042489"/>
    <n v="2.490000000000002"/>
  </r>
  <r>
    <d v="2022-01-02T00:00:00"/>
    <s v="S005"/>
    <s v="P0009"/>
    <x v="2"/>
    <s v="West"/>
    <n v="119"/>
    <n v="90"/>
    <n v="76"/>
    <n v="99.63"/>
    <n v="78.08"/>
    <n v="10"/>
    <s v="Sunny"/>
    <n v="0"/>
    <n v="73.69"/>
    <s v="Winter"/>
    <n v="0.75630252100840334"/>
    <n v="4.3900000000000006"/>
  </r>
  <r>
    <d v="2022-01-02T00:00:00"/>
    <s v="S005"/>
    <s v="P0010"/>
    <x v="3"/>
    <s v="West"/>
    <n v="403"/>
    <n v="83"/>
    <n v="77"/>
    <n v="84.32"/>
    <n v="43.09"/>
    <n v="10"/>
    <s v="Sunny"/>
    <n v="1"/>
    <n v="47.02"/>
    <s v="Spring"/>
    <n v="0.20595533498759305"/>
    <n v="-3.9299999999999997"/>
  </r>
  <r>
    <d v="2022-01-02T00:00:00"/>
    <s v="S005"/>
    <s v="P0011"/>
    <x v="2"/>
    <s v="East"/>
    <n v="60"/>
    <n v="16"/>
    <n v="149"/>
    <n v="23.98"/>
    <n v="25.67"/>
    <n v="5"/>
    <s v="Sunny"/>
    <n v="1"/>
    <n v="27.78"/>
    <s v="Winter"/>
    <n v="0.26666666666666666"/>
    <n v="-2.1099999999999994"/>
  </r>
  <r>
    <d v="2022-01-02T00:00:00"/>
    <s v="S005"/>
    <s v="P0012"/>
    <x v="1"/>
    <s v="West"/>
    <n v="182"/>
    <n v="87"/>
    <n v="121"/>
    <n v="83.13"/>
    <n v="38.590000000000003"/>
    <n v="20"/>
    <s v="Rainy"/>
    <n v="0"/>
    <n v="33.869999999999997"/>
    <s v="Spring"/>
    <n v="0.47802197802197804"/>
    <n v="4.720000000000006"/>
  </r>
  <r>
    <d v="2022-01-02T00:00:00"/>
    <s v="S005"/>
    <s v="P0013"/>
    <x v="3"/>
    <s v="East"/>
    <n v="455"/>
    <n v="241"/>
    <n v="136"/>
    <n v="235.03"/>
    <n v="57.99"/>
    <n v="5"/>
    <s v="Sunny"/>
    <n v="0"/>
    <n v="55.4"/>
    <s v="Spring"/>
    <n v="0.52967032967032968"/>
    <n v="2.5900000000000034"/>
  </r>
  <r>
    <d v="2022-01-02T00:00:00"/>
    <s v="S005"/>
    <s v="P0014"/>
    <x v="1"/>
    <s v="South"/>
    <n v="437"/>
    <n v="286"/>
    <n v="116"/>
    <n v="282.52"/>
    <n v="14.65"/>
    <n v="20"/>
    <s v="Snowy"/>
    <n v="1"/>
    <n v="13.12"/>
    <s v="Winter"/>
    <n v="0.65446224256292906"/>
    <n v="1.5300000000000011"/>
  </r>
  <r>
    <d v="2022-01-02T00:00:00"/>
    <s v="S005"/>
    <s v="P0015"/>
    <x v="4"/>
    <s v="West"/>
    <n v="289"/>
    <n v="60"/>
    <n v="83"/>
    <n v="52.77"/>
    <n v="63.26"/>
    <n v="0"/>
    <s v="Rainy"/>
    <n v="1"/>
    <n v="61.02"/>
    <s v="Autumn"/>
    <n v="0.20761245674740483"/>
    <n v="2.2399999999999949"/>
  </r>
  <r>
    <d v="2022-01-02T00:00:00"/>
    <s v="S005"/>
    <s v="P0016"/>
    <x v="0"/>
    <s v="East"/>
    <n v="487"/>
    <n v="437"/>
    <n v="106"/>
    <n v="432.86"/>
    <n v="43.64"/>
    <n v="15"/>
    <s v="Cloudy"/>
    <n v="1"/>
    <n v="39.130000000000003"/>
    <s v="Autumn"/>
    <n v="0.89733059548254623"/>
    <n v="4.509999999999998"/>
  </r>
  <r>
    <d v="2022-01-02T00:00:00"/>
    <s v="S005"/>
    <s v="P0017"/>
    <x v="1"/>
    <s v="North"/>
    <n v="418"/>
    <n v="377"/>
    <n v="76"/>
    <n v="383.26"/>
    <n v="84.85"/>
    <n v="20"/>
    <s v="Sunny"/>
    <n v="1"/>
    <n v="84.29"/>
    <s v="Summer"/>
    <n v="0.90191387559808611"/>
    <n v="0.55999999999998806"/>
  </r>
  <r>
    <d v="2022-01-02T00:00:00"/>
    <s v="S005"/>
    <s v="P0018"/>
    <x v="4"/>
    <s v="West"/>
    <n v="89"/>
    <n v="83"/>
    <n v="113"/>
    <n v="78.67"/>
    <n v="47.05"/>
    <n v="15"/>
    <s v="Rainy"/>
    <n v="1"/>
    <n v="47.89"/>
    <s v="Spring"/>
    <n v="0.93258426966292129"/>
    <n v="-0.84000000000000341"/>
  </r>
  <r>
    <d v="2022-01-02T00:00:00"/>
    <s v="S005"/>
    <s v="P0019"/>
    <x v="4"/>
    <s v="West"/>
    <n v="421"/>
    <n v="203"/>
    <n v="152"/>
    <n v="220.23"/>
    <n v="76.83"/>
    <n v="20"/>
    <s v="Snowy"/>
    <n v="0"/>
    <n v="75.86"/>
    <s v="Spring"/>
    <n v="0.48218527315914489"/>
    <n v="0.96999999999999886"/>
  </r>
  <r>
    <d v="2022-01-02T00:00:00"/>
    <s v="S005"/>
    <s v="P0020"/>
    <x v="4"/>
    <s v="South"/>
    <n v="211"/>
    <n v="183"/>
    <n v="189"/>
    <n v="190.11"/>
    <n v="93.95"/>
    <n v="10"/>
    <s v="Sunny"/>
    <n v="1"/>
    <n v="98.89"/>
    <s v="Spring"/>
    <n v="0.86729857819905209"/>
    <n v="-4.9399999999999977"/>
  </r>
  <r>
    <d v="2022-01-03T00:00:00"/>
    <s v="S001"/>
    <s v="P0001"/>
    <x v="2"/>
    <s v="West"/>
    <n v="154"/>
    <n v="5"/>
    <n v="189"/>
    <n v="5.36"/>
    <n v="62.7"/>
    <n v="20"/>
    <s v="Rainy"/>
    <n v="0"/>
    <n v="58.22"/>
    <s v="Winter"/>
    <n v="3.2467532467532464E-2"/>
    <n v="4.480000000000004"/>
  </r>
  <r>
    <d v="2022-01-03T00:00:00"/>
    <s v="S001"/>
    <s v="P0002"/>
    <x v="4"/>
    <s v="East"/>
    <n v="282"/>
    <n v="199"/>
    <n v="70"/>
    <n v="193.26"/>
    <n v="54.02"/>
    <n v="0"/>
    <s v="Cloudy"/>
    <n v="0"/>
    <n v="52.91"/>
    <s v="Spring"/>
    <n v="0.70567375886524819"/>
    <n v="1.1100000000000065"/>
  </r>
  <r>
    <d v="2022-01-03T00:00:00"/>
    <s v="S001"/>
    <s v="P0003"/>
    <x v="1"/>
    <s v="South"/>
    <n v="183"/>
    <n v="176"/>
    <n v="124"/>
    <n v="168.28"/>
    <n v="26.03"/>
    <n v="10"/>
    <s v="Rainy"/>
    <n v="0"/>
    <n v="29.38"/>
    <s v="Winter"/>
    <n v="0.96174863387978138"/>
    <n v="-3.3499999999999979"/>
  </r>
  <r>
    <d v="2022-01-03T00:00:00"/>
    <s v="S001"/>
    <s v="P0004"/>
    <x v="2"/>
    <s v="East"/>
    <n v="239"/>
    <n v="214"/>
    <n v="51"/>
    <n v="228.51"/>
    <n v="10.19"/>
    <n v="0"/>
    <s v="Cloudy"/>
    <n v="1"/>
    <n v="7.82"/>
    <s v="Winter"/>
    <n v="0.89539748953974896"/>
    <n v="2.3699999999999992"/>
  </r>
  <r>
    <d v="2022-01-03T00:00:00"/>
    <s v="S001"/>
    <s v="P0005"/>
    <x v="0"/>
    <s v="West"/>
    <n v="368"/>
    <n v="165"/>
    <n v="56"/>
    <n v="170.76"/>
    <n v="95.54"/>
    <n v="0"/>
    <s v="Sunny"/>
    <n v="0"/>
    <n v="91.29"/>
    <s v="Spring"/>
    <n v="0.4483695652173913"/>
    <n v="4.25"/>
  </r>
  <r>
    <d v="2022-01-03T00:00:00"/>
    <s v="S001"/>
    <s v="P0006"/>
    <x v="3"/>
    <s v="South"/>
    <n v="57"/>
    <n v="9"/>
    <n v="40"/>
    <n v="13.6"/>
    <n v="57.65"/>
    <n v="5"/>
    <s v="Sunny"/>
    <n v="0"/>
    <n v="58.01"/>
    <s v="Summer"/>
    <n v="0.15789473684210525"/>
    <n v="-0.35999999999999943"/>
  </r>
  <r>
    <d v="2022-01-03T00:00:00"/>
    <s v="S001"/>
    <s v="P0007"/>
    <x v="4"/>
    <s v="South"/>
    <n v="460"/>
    <n v="140"/>
    <n v="70"/>
    <n v="143.69999999999999"/>
    <n v="87.85"/>
    <n v="20"/>
    <s v="Sunny"/>
    <n v="0"/>
    <n v="91.9"/>
    <s v="Winter"/>
    <n v="0.30434782608695654"/>
    <n v="-4.0500000000000114"/>
  </r>
  <r>
    <d v="2022-01-03T00:00:00"/>
    <s v="S001"/>
    <s v="P0008"/>
    <x v="0"/>
    <s v="West"/>
    <n v="214"/>
    <n v="177"/>
    <n v="150"/>
    <n v="178"/>
    <n v="53.94"/>
    <n v="5"/>
    <s v="Snowy"/>
    <n v="0"/>
    <n v="51.47"/>
    <s v="Autumn"/>
    <n v="0.82710280373831779"/>
    <n v="2.4699999999999989"/>
  </r>
  <r>
    <d v="2022-01-03T00:00:00"/>
    <s v="S001"/>
    <s v="P0009"/>
    <x v="0"/>
    <s v="South"/>
    <n v="407"/>
    <n v="217"/>
    <n v="55"/>
    <n v="217.69"/>
    <n v="61.42"/>
    <n v="20"/>
    <s v="Sunny"/>
    <n v="0"/>
    <n v="65.86"/>
    <s v="Winter"/>
    <n v="0.53316953316953319"/>
    <n v="-4.4399999999999977"/>
  </r>
  <r>
    <d v="2022-01-03T00:00:00"/>
    <s v="S001"/>
    <s v="P0010"/>
    <x v="2"/>
    <s v="West"/>
    <n v="51"/>
    <n v="47"/>
    <n v="155"/>
    <n v="38.08"/>
    <n v="99.14"/>
    <n v="10"/>
    <s v="Snowy"/>
    <n v="0"/>
    <n v="102.66"/>
    <s v="Autumn"/>
    <n v="0.92156862745098034"/>
    <n v="-3.519999999999996"/>
  </r>
  <r>
    <d v="2022-01-03T00:00:00"/>
    <s v="S001"/>
    <s v="P0011"/>
    <x v="0"/>
    <s v="East"/>
    <n v="252"/>
    <n v="3"/>
    <n v="98"/>
    <n v="5.18"/>
    <n v="60.52"/>
    <n v="0"/>
    <s v="Cloudy"/>
    <n v="0"/>
    <n v="62.72"/>
    <s v="Autumn"/>
    <n v="1.1904761904761904E-2"/>
    <n v="-2.1999999999999957"/>
  </r>
  <r>
    <d v="2022-01-03T00:00:00"/>
    <s v="S001"/>
    <s v="P0012"/>
    <x v="4"/>
    <s v="East"/>
    <n v="72"/>
    <n v="2"/>
    <n v="62"/>
    <n v="9.81"/>
    <n v="86.93"/>
    <n v="15"/>
    <s v="Cloudy"/>
    <n v="0"/>
    <n v="83.11"/>
    <s v="Summer"/>
    <n v="2.7777777777777776E-2"/>
    <n v="3.8200000000000074"/>
  </r>
  <r>
    <d v="2022-01-03T00:00:00"/>
    <s v="S001"/>
    <s v="P0013"/>
    <x v="4"/>
    <s v="South"/>
    <n v="194"/>
    <n v="18"/>
    <n v="120"/>
    <n v="20.05"/>
    <n v="83.11"/>
    <n v="10"/>
    <s v="Snowy"/>
    <n v="1"/>
    <n v="85.16"/>
    <s v="Summer"/>
    <n v="9.2783505154639179E-2"/>
    <n v="-2.0499999999999972"/>
  </r>
  <r>
    <d v="2022-01-03T00:00:00"/>
    <s v="S001"/>
    <s v="P0014"/>
    <x v="1"/>
    <s v="South"/>
    <n v="302"/>
    <n v="242"/>
    <n v="145"/>
    <n v="255.54"/>
    <n v="32.28"/>
    <n v="10"/>
    <s v="Rainy"/>
    <n v="1"/>
    <n v="30.1"/>
    <s v="Winter"/>
    <n v="0.80132450331125826"/>
    <n v="2.1799999999999997"/>
  </r>
  <r>
    <d v="2022-01-03T00:00:00"/>
    <s v="S001"/>
    <s v="P0015"/>
    <x v="1"/>
    <s v="North"/>
    <n v="330"/>
    <n v="228"/>
    <n v="157"/>
    <n v="246.91"/>
    <n v="52.17"/>
    <n v="10"/>
    <s v="Sunny"/>
    <n v="1"/>
    <n v="52.43"/>
    <s v="Summer"/>
    <n v="0.69090909090909092"/>
    <n v="-0.25999999999999801"/>
  </r>
  <r>
    <d v="2022-01-03T00:00:00"/>
    <s v="S001"/>
    <s v="P0016"/>
    <x v="4"/>
    <s v="East"/>
    <n v="148"/>
    <n v="31"/>
    <n v="160"/>
    <n v="35.11"/>
    <n v="93.61"/>
    <n v="15"/>
    <s v="Snowy"/>
    <n v="1"/>
    <n v="94.15"/>
    <s v="Spring"/>
    <n v="0.20945945945945946"/>
    <n v="-0.54000000000000625"/>
  </r>
  <r>
    <d v="2022-01-03T00:00:00"/>
    <s v="S001"/>
    <s v="P0017"/>
    <x v="4"/>
    <s v="North"/>
    <n v="315"/>
    <n v="16"/>
    <n v="197"/>
    <n v="33.51"/>
    <n v="98.25"/>
    <n v="5"/>
    <s v="Sunny"/>
    <n v="0"/>
    <n v="100.34"/>
    <s v="Spring"/>
    <n v="5.0793650793650794E-2"/>
    <n v="-2.0900000000000034"/>
  </r>
  <r>
    <d v="2022-01-03T00:00:00"/>
    <s v="S001"/>
    <s v="P0018"/>
    <x v="3"/>
    <s v="East"/>
    <n v="97"/>
    <n v="20"/>
    <n v="147"/>
    <n v="37.26"/>
    <n v="78.53"/>
    <n v="5"/>
    <s v="Rainy"/>
    <n v="0"/>
    <n v="75.48"/>
    <s v="Autumn"/>
    <n v="0.20618556701030927"/>
    <n v="3.0499999999999972"/>
  </r>
  <r>
    <d v="2022-01-03T00:00:00"/>
    <s v="S001"/>
    <s v="P0019"/>
    <x v="3"/>
    <s v="South"/>
    <n v="240"/>
    <n v="193"/>
    <n v="171"/>
    <n v="203.45"/>
    <n v="56.91"/>
    <n v="0"/>
    <s v="Sunny"/>
    <n v="1"/>
    <n v="54.2"/>
    <s v="Spring"/>
    <n v="0.8041666666666667"/>
    <n v="2.7099999999999937"/>
  </r>
  <r>
    <d v="2022-01-03T00:00:00"/>
    <s v="S001"/>
    <s v="P0020"/>
    <x v="1"/>
    <s v="North"/>
    <n v="178"/>
    <n v="118"/>
    <n v="162"/>
    <n v="110.02"/>
    <n v="35.32"/>
    <n v="20"/>
    <s v="Cloudy"/>
    <n v="1"/>
    <n v="37.56"/>
    <s v="Summer"/>
    <n v="0.6629213483146067"/>
    <n v="-2.240000000000002"/>
  </r>
  <r>
    <d v="2022-01-03T00:00:00"/>
    <s v="S002"/>
    <s v="P0001"/>
    <x v="1"/>
    <s v="North"/>
    <n v="405"/>
    <n v="96"/>
    <n v="171"/>
    <n v="100.82"/>
    <n v="48.08"/>
    <n v="0"/>
    <s v="Rainy"/>
    <n v="1"/>
    <n v="49.4"/>
    <s v="Autumn"/>
    <n v="0.23703703703703705"/>
    <n v="-1.3200000000000003"/>
  </r>
  <r>
    <d v="2022-01-03T00:00:00"/>
    <s v="S002"/>
    <s v="P0002"/>
    <x v="2"/>
    <s v="North"/>
    <n v="200"/>
    <n v="48"/>
    <n v="47"/>
    <n v="55.45"/>
    <n v="46.95"/>
    <n v="15"/>
    <s v="Snowy"/>
    <n v="1"/>
    <n v="43.48"/>
    <s v="Summer"/>
    <n v="0.24"/>
    <n v="3.470000000000006"/>
  </r>
  <r>
    <d v="2022-01-03T00:00:00"/>
    <s v="S002"/>
    <s v="P0003"/>
    <x v="3"/>
    <s v="West"/>
    <n v="327"/>
    <n v="130"/>
    <n v="166"/>
    <n v="127.03"/>
    <n v="94.45"/>
    <n v="20"/>
    <s v="Cloudy"/>
    <n v="1"/>
    <n v="99.26"/>
    <s v="Winter"/>
    <n v="0.39755351681957185"/>
    <n v="-4.8100000000000023"/>
  </r>
  <r>
    <d v="2022-01-03T00:00:00"/>
    <s v="S002"/>
    <s v="P0004"/>
    <x v="0"/>
    <s v="North"/>
    <n v="409"/>
    <n v="11"/>
    <n v="48"/>
    <n v="8.25"/>
    <n v="27.28"/>
    <n v="10"/>
    <s v="Snowy"/>
    <n v="1"/>
    <n v="28.61"/>
    <s v="Autumn"/>
    <n v="2.6894865525672371E-2"/>
    <n v="-1.3299999999999983"/>
  </r>
  <r>
    <d v="2022-01-03T00:00:00"/>
    <s v="S002"/>
    <s v="P0005"/>
    <x v="0"/>
    <s v="West"/>
    <n v="327"/>
    <n v="313"/>
    <n v="194"/>
    <n v="326.56"/>
    <n v="29.74"/>
    <n v="0"/>
    <s v="Snowy"/>
    <n v="1"/>
    <n v="31.67"/>
    <s v="Winter"/>
    <n v="0.95718654434250761"/>
    <n v="-1.9300000000000033"/>
  </r>
  <r>
    <d v="2022-01-03T00:00:00"/>
    <s v="S002"/>
    <s v="P0006"/>
    <x v="3"/>
    <s v="North"/>
    <n v="388"/>
    <n v="352"/>
    <n v="199"/>
    <n v="365.82"/>
    <n v="27.64"/>
    <n v="5"/>
    <s v="Snowy"/>
    <n v="0"/>
    <n v="27.19"/>
    <s v="Summer"/>
    <n v="0.90721649484536082"/>
    <n v="0.44999999999999929"/>
  </r>
  <r>
    <d v="2022-01-03T00:00:00"/>
    <s v="S002"/>
    <s v="P0007"/>
    <x v="1"/>
    <s v="South"/>
    <n v="483"/>
    <n v="265"/>
    <n v="108"/>
    <n v="277.23"/>
    <n v="60.54"/>
    <n v="5"/>
    <s v="Rainy"/>
    <n v="0"/>
    <n v="55.83"/>
    <s v="Autumn"/>
    <n v="0.54865424430641818"/>
    <n v="4.7100000000000009"/>
  </r>
  <r>
    <d v="2022-01-03T00:00:00"/>
    <s v="S002"/>
    <s v="P0008"/>
    <x v="3"/>
    <s v="South"/>
    <n v="70"/>
    <n v="11"/>
    <n v="137"/>
    <n v="23.62"/>
    <n v="58.55"/>
    <n v="10"/>
    <s v="Cloudy"/>
    <n v="0"/>
    <n v="63.45"/>
    <s v="Summer"/>
    <n v="0.15714285714285714"/>
    <n v="-4.9000000000000057"/>
  </r>
  <r>
    <d v="2022-01-03T00:00:00"/>
    <s v="S002"/>
    <s v="P0009"/>
    <x v="0"/>
    <s v="South"/>
    <n v="288"/>
    <n v="191"/>
    <n v="29"/>
    <n v="207.27"/>
    <n v="58.59"/>
    <n v="0"/>
    <s v="Cloudy"/>
    <n v="0"/>
    <n v="60.98"/>
    <s v="Summer"/>
    <n v="0.66319444444444442"/>
    <n v="-2.3899999999999935"/>
  </r>
  <r>
    <d v="2022-01-03T00:00:00"/>
    <s v="S002"/>
    <s v="P0010"/>
    <x v="2"/>
    <s v="West"/>
    <n v="270"/>
    <n v="185"/>
    <n v="150"/>
    <n v="192.21"/>
    <n v="95.48"/>
    <n v="0"/>
    <s v="Rainy"/>
    <n v="1"/>
    <n v="91.76"/>
    <s v="Winter"/>
    <n v="0.68518518518518523"/>
    <n v="3.7199999999999989"/>
  </r>
  <r>
    <d v="2022-01-03T00:00:00"/>
    <s v="S002"/>
    <s v="P0011"/>
    <x v="4"/>
    <s v="North"/>
    <n v="217"/>
    <n v="143"/>
    <n v="66"/>
    <n v="154.26"/>
    <n v="37.81"/>
    <n v="20"/>
    <s v="Snowy"/>
    <n v="1"/>
    <n v="37.14"/>
    <s v="Autumn"/>
    <n v="0.65898617511520741"/>
    <n v="0.67000000000000171"/>
  </r>
  <r>
    <d v="2022-01-03T00:00:00"/>
    <s v="S002"/>
    <s v="P0012"/>
    <x v="2"/>
    <s v="West"/>
    <n v="221"/>
    <n v="85"/>
    <n v="84"/>
    <n v="104.48"/>
    <n v="48.7"/>
    <n v="10"/>
    <s v="Rainy"/>
    <n v="0"/>
    <n v="51.33"/>
    <s v="Spring"/>
    <n v="0.38461538461538464"/>
    <n v="-2.6299999999999955"/>
  </r>
  <r>
    <d v="2022-01-03T00:00:00"/>
    <s v="S002"/>
    <s v="P0013"/>
    <x v="0"/>
    <s v="West"/>
    <n v="303"/>
    <n v="270"/>
    <n v="164"/>
    <n v="268.73"/>
    <n v="65.89"/>
    <n v="10"/>
    <s v="Cloudy"/>
    <n v="0"/>
    <n v="64.52"/>
    <s v="Summer"/>
    <n v="0.8910891089108911"/>
    <n v="1.3700000000000045"/>
  </r>
  <r>
    <d v="2022-01-03T00:00:00"/>
    <s v="S002"/>
    <s v="P0014"/>
    <x v="0"/>
    <s v="West"/>
    <n v="298"/>
    <n v="233"/>
    <n v="143"/>
    <n v="245.02"/>
    <n v="20.37"/>
    <n v="0"/>
    <s v="Rainy"/>
    <n v="1"/>
    <n v="23.3"/>
    <s v="Spring"/>
    <n v="0.78187919463087252"/>
    <n v="-2.9299999999999997"/>
  </r>
  <r>
    <d v="2022-01-03T00:00:00"/>
    <s v="S002"/>
    <s v="P0015"/>
    <x v="3"/>
    <s v="West"/>
    <n v="193"/>
    <n v="187"/>
    <n v="57"/>
    <n v="177.8"/>
    <n v="46.25"/>
    <n v="0"/>
    <s v="Snowy"/>
    <n v="0"/>
    <n v="49.2"/>
    <s v="Spring"/>
    <n v="0.9689119170984456"/>
    <n v="-2.9500000000000028"/>
  </r>
  <r>
    <d v="2022-01-03T00:00:00"/>
    <s v="S002"/>
    <s v="P0016"/>
    <x v="2"/>
    <s v="South"/>
    <n v="205"/>
    <n v="39"/>
    <n v="147"/>
    <n v="37.83"/>
    <n v="71.739999999999995"/>
    <n v="10"/>
    <s v="Rainy"/>
    <n v="0"/>
    <n v="76.17"/>
    <s v="Winter"/>
    <n v="0.19024390243902439"/>
    <n v="-4.4300000000000068"/>
  </r>
  <r>
    <d v="2022-01-03T00:00:00"/>
    <s v="S002"/>
    <s v="P0017"/>
    <x v="1"/>
    <s v="West"/>
    <n v="427"/>
    <n v="234"/>
    <n v="195"/>
    <n v="231.16"/>
    <n v="20.57"/>
    <n v="10"/>
    <s v="Rainy"/>
    <n v="1"/>
    <n v="22.24"/>
    <s v="Autumn"/>
    <n v="0.54800936768149888"/>
    <n v="-1.6699999999999982"/>
  </r>
  <r>
    <d v="2022-01-03T00:00:00"/>
    <s v="S002"/>
    <s v="P0018"/>
    <x v="4"/>
    <s v="South"/>
    <n v="365"/>
    <n v="213"/>
    <n v="106"/>
    <n v="208.31"/>
    <n v="29.88"/>
    <n v="20"/>
    <s v="Rainy"/>
    <n v="1"/>
    <n v="25.73"/>
    <s v="Autumn"/>
    <n v="0.58356164383561648"/>
    <n v="4.1499999999999986"/>
  </r>
  <r>
    <d v="2022-01-03T00:00:00"/>
    <s v="S002"/>
    <s v="P0019"/>
    <x v="4"/>
    <s v="North"/>
    <n v="111"/>
    <n v="55"/>
    <n v="163"/>
    <n v="71.88"/>
    <n v="73.98"/>
    <n v="15"/>
    <s v="Rainy"/>
    <n v="1"/>
    <n v="73.5"/>
    <s v="Winter"/>
    <n v="0.49549549549549549"/>
    <n v="0.48000000000000398"/>
  </r>
  <r>
    <d v="2022-01-03T00:00:00"/>
    <s v="S002"/>
    <s v="P0020"/>
    <x v="0"/>
    <s v="South"/>
    <n v="271"/>
    <n v="22"/>
    <n v="178"/>
    <n v="15.3"/>
    <n v="45.02"/>
    <n v="10"/>
    <s v="Sunny"/>
    <n v="0"/>
    <n v="47.01"/>
    <s v="Spring"/>
    <n v="8.1180811808118078E-2"/>
    <n v="-1.9899999999999949"/>
  </r>
  <r>
    <d v="2022-01-03T00:00:00"/>
    <s v="S003"/>
    <s v="P0001"/>
    <x v="4"/>
    <s v="North"/>
    <n v="134"/>
    <n v="100"/>
    <n v="185"/>
    <n v="100.66"/>
    <n v="82.88"/>
    <n v="10"/>
    <s v="Sunny"/>
    <n v="1"/>
    <n v="86.74"/>
    <s v="Autumn"/>
    <n v="0.74626865671641796"/>
    <n v="-3.8599999999999994"/>
  </r>
  <r>
    <d v="2022-01-03T00:00:00"/>
    <s v="S003"/>
    <s v="P0002"/>
    <x v="0"/>
    <s v="North"/>
    <n v="405"/>
    <n v="353"/>
    <n v="74"/>
    <n v="355.08"/>
    <n v="17.36"/>
    <n v="0"/>
    <s v="Cloudy"/>
    <n v="1"/>
    <n v="17.32"/>
    <s v="Spring"/>
    <n v="0.8716049382716049"/>
    <n v="3.9999999999999147E-2"/>
  </r>
  <r>
    <d v="2022-01-03T00:00:00"/>
    <s v="S003"/>
    <s v="P0003"/>
    <x v="2"/>
    <s v="West"/>
    <n v="290"/>
    <n v="255"/>
    <n v="118"/>
    <n v="246.78"/>
    <n v="42.7"/>
    <n v="20"/>
    <s v="Snowy"/>
    <n v="0"/>
    <n v="40.380000000000003"/>
    <s v="Autumn"/>
    <n v="0.87931034482758619"/>
    <n v="2.3200000000000003"/>
  </r>
  <r>
    <d v="2022-01-03T00:00:00"/>
    <s v="S003"/>
    <s v="P0004"/>
    <x v="4"/>
    <s v="South"/>
    <n v="403"/>
    <n v="154"/>
    <n v="189"/>
    <n v="166.81"/>
    <n v="89.67"/>
    <n v="15"/>
    <s v="Sunny"/>
    <n v="0"/>
    <n v="88.99"/>
    <s v="Autumn"/>
    <n v="0.38213399503722084"/>
    <n v="0.68000000000000682"/>
  </r>
  <r>
    <d v="2022-01-03T00:00:00"/>
    <s v="S003"/>
    <s v="P0005"/>
    <x v="4"/>
    <s v="East"/>
    <n v="311"/>
    <n v="147"/>
    <n v="29"/>
    <n v="154.97"/>
    <n v="65.77"/>
    <n v="0"/>
    <s v="Cloudy"/>
    <n v="1"/>
    <n v="61.06"/>
    <s v="Spring"/>
    <n v="0.47266881028938906"/>
    <n v="4.7099999999999937"/>
  </r>
  <r>
    <d v="2022-01-03T00:00:00"/>
    <s v="S003"/>
    <s v="P0006"/>
    <x v="2"/>
    <s v="North"/>
    <n v="448"/>
    <n v="342"/>
    <n v="112"/>
    <n v="357.52"/>
    <n v="95.74"/>
    <n v="10"/>
    <s v="Cloudy"/>
    <n v="0"/>
    <n v="94.29"/>
    <s v="Summer"/>
    <n v="0.7633928571428571"/>
    <n v="1.4499999999999886"/>
  </r>
  <r>
    <d v="2022-01-03T00:00:00"/>
    <s v="S003"/>
    <s v="P0007"/>
    <x v="3"/>
    <s v="West"/>
    <n v="277"/>
    <n v="54"/>
    <n v="126"/>
    <n v="48.62"/>
    <n v="98.9"/>
    <n v="0"/>
    <s v="Cloudy"/>
    <n v="0"/>
    <n v="97.62"/>
    <s v="Summer"/>
    <n v="0.19494584837545126"/>
    <n v="1.2800000000000011"/>
  </r>
  <r>
    <d v="2022-01-03T00:00:00"/>
    <s v="S003"/>
    <s v="P0008"/>
    <x v="1"/>
    <s v="East"/>
    <n v="421"/>
    <n v="289"/>
    <n v="112"/>
    <n v="292.20999999999998"/>
    <n v="41.11"/>
    <n v="15"/>
    <s v="Cloudy"/>
    <n v="0"/>
    <n v="36.9"/>
    <s v="Summer"/>
    <n v="0.68646080760095007"/>
    <n v="4.2100000000000009"/>
  </r>
  <r>
    <d v="2022-01-03T00:00:00"/>
    <s v="S003"/>
    <s v="P0009"/>
    <x v="1"/>
    <s v="South"/>
    <n v="241"/>
    <n v="179"/>
    <n v="135"/>
    <n v="198.59"/>
    <n v="42.07"/>
    <n v="0"/>
    <s v="Snowy"/>
    <n v="1"/>
    <n v="37.659999999999997"/>
    <s v="Winter"/>
    <n v="0.74273858921161828"/>
    <n v="4.4100000000000037"/>
  </r>
  <r>
    <d v="2022-01-03T00:00:00"/>
    <s v="S003"/>
    <s v="P0010"/>
    <x v="3"/>
    <s v="South"/>
    <n v="186"/>
    <n v="175"/>
    <n v="75"/>
    <n v="177.8"/>
    <n v="95.89"/>
    <n v="0"/>
    <s v="Rainy"/>
    <n v="1"/>
    <n v="96.19"/>
    <s v="Autumn"/>
    <n v="0.94086021505376349"/>
    <n v="-0.29999999999999716"/>
  </r>
  <r>
    <d v="2022-01-03T00:00:00"/>
    <s v="S003"/>
    <s v="P0011"/>
    <x v="4"/>
    <s v="West"/>
    <n v="413"/>
    <n v="209"/>
    <n v="86"/>
    <n v="220.54"/>
    <n v="84.12"/>
    <n v="5"/>
    <s v="Sunny"/>
    <n v="0"/>
    <n v="89.06"/>
    <s v="Spring"/>
    <n v="0.50605326876513312"/>
    <n v="-4.9399999999999977"/>
  </r>
  <r>
    <d v="2022-01-03T00:00:00"/>
    <s v="S003"/>
    <s v="P0012"/>
    <x v="1"/>
    <s v="East"/>
    <n v="112"/>
    <n v="109"/>
    <n v="46"/>
    <n v="113.33"/>
    <n v="71.209999999999994"/>
    <n v="20"/>
    <s v="Rainy"/>
    <n v="1"/>
    <n v="74.709999999999994"/>
    <s v="Summer"/>
    <n v="0.9732142857142857"/>
    <n v="-3.5"/>
  </r>
  <r>
    <d v="2022-01-03T00:00:00"/>
    <s v="S003"/>
    <s v="P0013"/>
    <x v="0"/>
    <s v="South"/>
    <n v="268"/>
    <n v="43"/>
    <n v="78"/>
    <n v="49.77"/>
    <n v="49.23"/>
    <n v="0"/>
    <s v="Rainy"/>
    <n v="1"/>
    <n v="47.75"/>
    <s v="Spring"/>
    <n v="0.16044776119402984"/>
    <n v="1.4799999999999969"/>
  </r>
  <r>
    <d v="2022-01-03T00:00:00"/>
    <s v="S003"/>
    <s v="P0014"/>
    <x v="1"/>
    <s v="South"/>
    <n v="347"/>
    <n v="58"/>
    <n v="38"/>
    <n v="49.31"/>
    <n v="21.87"/>
    <n v="10"/>
    <s v="Rainy"/>
    <n v="1"/>
    <n v="25"/>
    <s v="Autumn"/>
    <n v="0.16714697406340057"/>
    <n v="-3.129999999999999"/>
  </r>
  <r>
    <d v="2022-01-03T00:00:00"/>
    <s v="S003"/>
    <s v="P0015"/>
    <x v="2"/>
    <s v="South"/>
    <n v="495"/>
    <n v="399"/>
    <n v="86"/>
    <n v="390.1"/>
    <n v="60.83"/>
    <n v="0"/>
    <s v="Cloudy"/>
    <n v="1"/>
    <n v="60.34"/>
    <s v="Spring"/>
    <n v="0.80606060606060603"/>
    <n v="0.48999999999999488"/>
  </r>
  <r>
    <d v="2022-01-03T00:00:00"/>
    <s v="S003"/>
    <s v="P0016"/>
    <x v="4"/>
    <s v="West"/>
    <n v="324"/>
    <n v="95"/>
    <n v="145"/>
    <n v="111.3"/>
    <n v="56.78"/>
    <n v="20"/>
    <s v="Rainy"/>
    <n v="0"/>
    <n v="60.75"/>
    <s v="Winter"/>
    <n v="0.2932098765432099"/>
    <n v="-3.9699999999999989"/>
  </r>
  <r>
    <d v="2022-01-03T00:00:00"/>
    <s v="S003"/>
    <s v="P0017"/>
    <x v="4"/>
    <s v="West"/>
    <n v="330"/>
    <n v="296"/>
    <n v="138"/>
    <n v="297.58"/>
    <n v="76.12"/>
    <n v="5"/>
    <s v="Snowy"/>
    <n v="0"/>
    <n v="77.55"/>
    <s v="Spring"/>
    <n v="0.89696969696969697"/>
    <n v="-1.4299999999999926"/>
  </r>
  <r>
    <d v="2022-01-03T00:00:00"/>
    <s v="S003"/>
    <s v="P0018"/>
    <x v="2"/>
    <s v="East"/>
    <n v="297"/>
    <n v="105"/>
    <n v="66"/>
    <n v="104.66"/>
    <n v="98.9"/>
    <n v="10"/>
    <s v="Sunny"/>
    <n v="0"/>
    <n v="96.55"/>
    <s v="Winter"/>
    <n v="0.35353535353535354"/>
    <n v="2.3500000000000085"/>
  </r>
  <r>
    <d v="2022-01-03T00:00:00"/>
    <s v="S003"/>
    <s v="P0019"/>
    <x v="4"/>
    <s v="East"/>
    <n v="169"/>
    <n v="103"/>
    <n v="47"/>
    <n v="107.67"/>
    <n v="46.24"/>
    <n v="5"/>
    <s v="Cloudy"/>
    <n v="0"/>
    <n v="47.84"/>
    <s v="Autumn"/>
    <n v="0.60946745562130178"/>
    <n v="-1.6000000000000014"/>
  </r>
  <r>
    <d v="2022-01-03T00:00:00"/>
    <s v="S003"/>
    <s v="P0020"/>
    <x v="1"/>
    <s v="South"/>
    <n v="257"/>
    <n v="131"/>
    <n v="103"/>
    <n v="123.65"/>
    <n v="16.350000000000001"/>
    <n v="15"/>
    <s v="Cloudy"/>
    <n v="0"/>
    <n v="19.59"/>
    <s v="Autumn"/>
    <n v="0.50972762645914393"/>
    <n v="-3.2399999999999984"/>
  </r>
  <r>
    <d v="2022-01-03T00:00:00"/>
    <s v="S004"/>
    <s v="P0001"/>
    <x v="0"/>
    <s v="East"/>
    <n v="175"/>
    <n v="66"/>
    <n v="140"/>
    <n v="56.84"/>
    <n v="83.63"/>
    <n v="15"/>
    <s v="Sunny"/>
    <n v="0"/>
    <n v="79.900000000000006"/>
    <s v="Summer"/>
    <n v="0.37714285714285717"/>
    <n v="3.7299999999999898"/>
  </r>
  <r>
    <d v="2022-01-03T00:00:00"/>
    <s v="S004"/>
    <s v="P0002"/>
    <x v="0"/>
    <s v="West"/>
    <n v="228"/>
    <n v="163"/>
    <n v="161"/>
    <n v="161.47999999999999"/>
    <n v="81.569999999999993"/>
    <n v="0"/>
    <s v="Cloudy"/>
    <n v="1"/>
    <n v="77.66"/>
    <s v="Winter"/>
    <n v="0.71491228070175439"/>
    <n v="3.9099999999999966"/>
  </r>
  <r>
    <d v="2022-01-03T00:00:00"/>
    <s v="S004"/>
    <s v="P0003"/>
    <x v="4"/>
    <s v="South"/>
    <n v="188"/>
    <n v="98"/>
    <n v="176"/>
    <n v="98.87"/>
    <n v="44.68"/>
    <n v="10"/>
    <s v="Snowy"/>
    <n v="0"/>
    <n v="42.55"/>
    <s v="Spring"/>
    <n v="0.52127659574468088"/>
    <n v="2.1300000000000026"/>
  </r>
  <r>
    <d v="2022-01-03T00:00:00"/>
    <s v="S004"/>
    <s v="P0004"/>
    <x v="0"/>
    <s v="East"/>
    <n v="211"/>
    <n v="150"/>
    <n v="20"/>
    <n v="167.75"/>
    <n v="60.11"/>
    <n v="0"/>
    <s v="Rainy"/>
    <n v="1"/>
    <n v="62.3"/>
    <s v="Summer"/>
    <n v="0.7109004739336493"/>
    <n v="-2.1899999999999977"/>
  </r>
  <r>
    <d v="2022-01-03T00:00:00"/>
    <s v="S004"/>
    <s v="P0005"/>
    <x v="3"/>
    <s v="North"/>
    <n v="149"/>
    <n v="15"/>
    <n v="60"/>
    <n v="21.91"/>
    <n v="24.63"/>
    <n v="20"/>
    <s v="Snowy"/>
    <n v="0"/>
    <n v="27.97"/>
    <s v="Winter"/>
    <n v="0.10067114093959731"/>
    <n v="-3.34"/>
  </r>
  <r>
    <d v="2022-01-03T00:00:00"/>
    <s v="S004"/>
    <s v="P0006"/>
    <x v="2"/>
    <s v="North"/>
    <n v="383"/>
    <n v="36"/>
    <n v="75"/>
    <n v="26.89"/>
    <n v="36.31"/>
    <n v="5"/>
    <s v="Cloudy"/>
    <n v="1"/>
    <n v="34.82"/>
    <s v="Autumn"/>
    <n v="9.3994778067885115E-2"/>
    <n v="1.490000000000002"/>
  </r>
  <r>
    <d v="2022-01-03T00:00:00"/>
    <s v="S004"/>
    <s v="P0007"/>
    <x v="2"/>
    <s v="East"/>
    <n v="478"/>
    <n v="303"/>
    <n v="153"/>
    <n v="307.7"/>
    <n v="11.36"/>
    <n v="15"/>
    <s v="Cloudy"/>
    <n v="1"/>
    <n v="15.64"/>
    <s v="Autumn"/>
    <n v="0.63389121338912136"/>
    <n v="-4.2800000000000011"/>
  </r>
  <r>
    <d v="2022-01-03T00:00:00"/>
    <s v="S004"/>
    <s v="P0008"/>
    <x v="2"/>
    <s v="East"/>
    <n v="217"/>
    <n v="209"/>
    <n v="35"/>
    <n v="215.04"/>
    <n v="63.1"/>
    <n v="10"/>
    <s v="Rainy"/>
    <n v="1"/>
    <n v="65.17"/>
    <s v="Winter"/>
    <n v="0.96313364055299544"/>
    <n v="-2.0700000000000003"/>
  </r>
  <r>
    <d v="2022-01-03T00:00:00"/>
    <s v="S004"/>
    <s v="P0009"/>
    <x v="2"/>
    <s v="West"/>
    <n v="73"/>
    <n v="69"/>
    <n v="65"/>
    <n v="68.510000000000005"/>
    <n v="30.82"/>
    <n v="20"/>
    <s v="Sunny"/>
    <n v="0"/>
    <n v="35.26"/>
    <s v="Winter"/>
    <n v="0.9452054794520548"/>
    <n v="-4.4399999999999977"/>
  </r>
  <r>
    <d v="2022-01-03T00:00:00"/>
    <s v="S004"/>
    <s v="P0010"/>
    <x v="2"/>
    <s v="West"/>
    <n v="467"/>
    <n v="143"/>
    <n v="183"/>
    <n v="139.44"/>
    <n v="23.73"/>
    <n v="0"/>
    <s v="Snowy"/>
    <n v="0"/>
    <n v="21.84"/>
    <s v="Winter"/>
    <n v="0.30620985010706636"/>
    <n v="1.8900000000000006"/>
  </r>
  <r>
    <d v="2022-01-03T00:00:00"/>
    <s v="S004"/>
    <s v="P0011"/>
    <x v="4"/>
    <s v="West"/>
    <n v="353"/>
    <n v="239"/>
    <n v="44"/>
    <n v="255.26"/>
    <n v="29.49"/>
    <n v="5"/>
    <s v="Sunny"/>
    <n v="0"/>
    <n v="31.68"/>
    <s v="Winter"/>
    <n v="0.67705382436260619"/>
    <n v="-2.1900000000000013"/>
  </r>
  <r>
    <d v="2022-01-03T00:00:00"/>
    <s v="S004"/>
    <s v="P0012"/>
    <x v="0"/>
    <s v="North"/>
    <n v="471"/>
    <n v="192"/>
    <n v="115"/>
    <n v="188.72"/>
    <n v="74.42"/>
    <n v="15"/>
    <s v="Cloudy"/>
    <n v="1"/>
    <n v="75.61"/>
    <s v="Autumn"/>
    <n v="0.40764331210191085"/>
    <n v="-1.1899999999999977"/>
  </r>
  <r>
    <d v="2022-01-03T00:00:00"/>
    <s v="S004"/>
    <s v="P0013"/>
    <x v="4"/>
    <s v="South"/>
    <n v="129"/>
    <n v="23"/>
    <n v="92"/>
    <n v="38.86"/>
    <n v="58.3"/>
    <n v="20"/>
    <s v="Rainy"/>
    <n v="1"/>
    <n v="59.12"/>
    <s v="Autumn"/>
    <n v="0.17829457364341086"/>
    <n v="-0.82000000000000028"/>
  </r>
  <r>
    <d v="2022-01-03T00:00:00"/>
    <s v="S004"/>
    <s v="P0014"/>
    <x v="0"/>
    <s v="East"/>
    <n v="301"/>
    <n v="165"/>
    <n v="34"/>
    <n v="160.46"/>
    <n v="60.58"/>
    <n v="0"/>
    <s v="Sunny"/>
    <n v="1"/>
    <n v="58.02"/>
    <s v="Winter"/>
    <n v="0.54817275747508309"/>
    <n v="2.5599999999999952"/>
  </r>
  <r>
    <d v="2022-01-03T00:00:00"/>
    <s v="S004"/>
    <s v="P0015"/>
    <x v="0"/>
    <s v="South"/>
    <n v="423"/>
    <n v="85"/>
    <n v="73"/>
    <n v="95.5"/>
    <n v="73.48"/>
    <n v="0"/>
    <s v="Rainy"/>
    <n v="0"/>
    <n v="77"/>
    <s v="Spring"/>
    <n v="0.20094562647754138"/>
    <n v="-3.519999999999996"/>
  </r>
  <r>
    <d v="2022-01-03T00:00:00"/>
    <s v="S004"/>
    <s v="P0016"/>
    <x v="0"/>
    <s v="East"/>
    <n v="385"/>
    <n v="79"/>
    <n v="130"/>
    <n v="86.62"/>
    <n v="16.18"/>
    <n v="10"/>
    <s v="Cloudy"/>
    <n v="0"/>
    <n v="18.350000000000001"/>
    <s v="Spring"/>
    <n v="0.20519480519480521"/>
    <n v="-2.1700000000000017"/>
  </r>
  <r>
    <d v="2022-01-03T00:00:00"/>
    <s v="S004"/>
    <s v="P0017"/>
    <x v="1"/>
    <s v="North"/>
    <n v="74"/>
    <n v="33"/>
    <n v="29"/>
    <n v="43.64"/>
    <n v="38.520000000000003"/>
    <n v="15"/>
    <s v="Rainy"/>
    <n v="0"/>
    <n v="39.57"/>
    <s v="Spring"/>
    <n v="0.44594594594594594"/>
    <n v="-1.0499999999999972"/>
  </r>
  <r>
    <d v="2022-01-03T00:00:00"/>
    <s v="S004"/>
    <s v="P0018"/>
    <x v="2"/>
    <s v="South"/>
    <n v="467"/>
    <n v="270"/>
    <n v="108"/>
    <n v="270.37"/>
    <n v="46.93"/>
    <n v="0"/>
    <s v="Snowy"/>
    <n v="0"/>
    <n v="46.83"/>
    <s v="Winter"/>
    <n v="0.57815845824411138"/>
    <n v="0.10000000000000142"/>
  </r>
  <r>
    <d v="2022-01-03T00:00:00"/>
    <s v="S004"/>
    <s v="P0019"/>
    <x v="1"/>
    <s v="North"/>
    <n v="140"/>
    <n v="1"/>
    <n v="47"/>
    <n v="-3.91"/>
    <n v="80.41"/>
    <n v="0"/>
    <s v="Snowy"/>
    <n v="0"/>
    <n v="76.900000000000006"/>
    <s v="Winter"/>
    <n v="7.1428571428571426E-3"/>
    <n v="3.5099999999999909"/>
  </r>
  <r>
    <d v="2022-01-03T00:00:00"/>
    <s v="S004"/>
    <s v="P0020"/>
    <x v="4"/>
    <s v="East"/>
    <n v="197"/>
    <n v="149"/>
    <n v="134"/>
    <n v="161.19999999999999"/>
    <n v="95.33"/>
    <n v="20"/>
    <s v="Cloudy"/>
    <n v="0"/>
    <n v="97.42"/>
    <s v="Winter"/>
    <n v="0.75634517766497467"/>
    <n v="-2.0900000000000034"/>
  </r>
  <r>
    <d v="2022-01-03T00:00:00"/>
    <s v="S005"/>
    <s v="P0001"/>
    <x v="0"/>
    <s v="North"/>
    <n v="159"/>
    <n v="3"/>
    <n v="145"/>
    <n v="18.12"/>
    <n v="36.299999999999997"/>
    <n v="0"/>
    <s v="Snowy"/>
    <n v="0"/>
    <n v="34.96"/>
    <s v="Winter"/>
    <n v="1.8867924528301886E-2"/>
    <n v="1.3399999999999963"/>
  </r>
  <r>
    <d v="2022-01-03T00:00:00"/>
    <s v="S005"/>
    <s v="P0002"/>
    <x v="2"/>
    <s v="North"/>
    <n v="322"/>
    <n v="59"/>
    <n v="111"/>
    <n v="78.349999999999994"/>
    <n v="82.08"/>
    <n v="10"/>
    <s v="Sunny"/>
    <n v="1"/>
    <n v="84.13"/>
    <s v="Spring"/>
    <n v="0.18322981366459629"/>
    <n v="-2.0499999999999972"/>
  </r>
  <r>
    <d v="2022-01-03T00:00:00"/>
    <s v="S005"/>
    <s v="P0003"/>
    <x v="0"/>
    <s v="East"/>
    <n v="106"/>
    <n v="15"/>
    <n v="101"/>
    <n v="25.13"/>
    <n v="46.4"/>
    <n v="20"/>
    <s v="Snowy"/>
    <n v="0"/>
    <n v="49.42"/>
    <s v="Summer"/>
    <n v="0.14150943396226415"/>
    <n v="-3.0200000000000031"/>
  </r>
  <r>
    <d v="2022-01-03T00:00:00"/>
    <s v="S005"/>
    <s v="P0004"/>
    <x v="0"/>
    <s v="South"/>
    <n v="475"/>
    <n v="351"/>
    <n v="132"/>
    <n v="358.12"/>
    <n v="59.76"/>
    <n v="5"/>
    <s v="Cloudy"/>
    <n v="0"/>
    <n v="57.14"/>
    <s v="Spring"/>
    <n v="0.73894736842105269"/>
    <n v="2.6199999999999974"/>
  </r>
  <r>
    <d v="2022-01-03T00:00:00"/>
    <s v="S005"/>
    <s v="P0005"/>
    <x v="0"/>
    <s v="North"/>
    <n v="83"/>
    <n v="66"/>
    <n v="57"/>
    <n v="63.37"/>
    <n v="60.35"/>
    <n v="20"/>
    <s v="Sunny"/>
    <n v="1"/>
    <n v="60.81"/>
    <s v="Winter"/>
    <n v="0.79518072289156627"/>
    <n v="-0.46000000000000085"/>
  </r>
  <r>
    <d v="2022-01-03T00:00:00"/>
    <s v="S005"/>
    <s v="P0006"/>
    <x v="0"/>
    <s v="West"/>
    <n v="117"/>
    <n v="62"/>
    <n v="58"/>
    <n v="59.04"/>
    <n v="40.61"/>
    <n v="10"/>
    <s v="Snowy"/>
    <n v="1"/>
    <n v="44.37"/>
    <s v="Autumn"/>
    <n v="0.52991452991452992"/>
    <n v="-3.759999999999998"/>
  </r>
  <r>
    <d v="2022-01-03T00:00:00"/>
    <s v="S005"/>
    <s v="P0007"/>
    <x v="4"/>
    <s v="West"/>
    <n v="368"/>
    <n v="77"/>
    <n v="44"/>
    <n v="95.69"/>
    <n v="63.61"/>
    <n v="5"/>
    <s v="Rainy"/>
    <n v="1"/>
    <n v="63.81"/>
    <s v="Winter"/>
    <n v="0.20923913043478262"/>
    <n v="-0.20000000000000284"/>
  </r>
  <r>
    <d v="2022-01-03T00:00:00"/>
    <s v="S005"/>
    <s v="P0008"/>
    <x v="2"/>
    <s v="South"/>
    <n v="207"/>
    <n v="177"/>
    <n v="154"/>
    <n v="173.93"/>
    <n v="97.09"/>
    <n v="5"/>
    <s v="Snowy"/>
    <n v="1"/>
    <n v="95.17"/>
    <s v="Summer"/>
    <n v="0.85507246376811596"/>
    <n v="1.9200000000000017"/>
  </r>
  <r>
    <d v="2022-01-03T00:00:00"/>
    <s v="S005"/>
    <s v="P0009"/>
    <x v="2"/>
    <s v="West"/>
    <n v="398"/>
    <n v="349"/>
    <n v="98"/>
    <n v="350.47"/>
    <n v="52.72"/>
    <n v="10"/>
    <s v="Sunny"/>
    <n v="0"/>
    <n v="55.74"/>
    <s v="Winter"/>
    <n v="0.87688442211055273"/>
    <n v="-3.0200000000000031"/>
  </r>
  <r>
    <d v="2022-01-03T00:00:00"/>
    <s v="S005"/>
    <s v="P0010"/>
    <x v="0"/>
    <s v="North"/>
    <n v="476"/>
    <n v="74"/>
    <n v="25"/>
    <n v="91.48"/>
    <n v="14.41"/>
    <n v="20"/>
    <s v="Sunny"/>
    <n v="1"/>
    <n v="11.25"/>
    <s v="Spring"/>
    <n v="0.15546218487394958"/>
    <n v="3.16"/>
  </r>
  <r>
    <d v="2022-01-03T00:00:00"/>
    <s v="S005"/>
    <s v="P0011"/>
    <x v="0"/>
    <s v="North"/>
    <n v="119"/>
    <n v="40"/>
    <n v="151"/>
    <n v="43.92"/>
    <n v="74.14"/>
    <n v="0"/>
    <s v="Cloudy"/>
    <n v="1"/>
    <n v="69.67"/>
    <s v="Winter"/>
    <n v="0.33613445378151263"/>
    <n v="4.4699999999999989"/>
  </r>
  <r>
    <d v="2022-01-03T00:00:00"/>
    <s v="S005"/>
    <s v="P0012"/>
    <x v="1"/>
    <s v="North"/>
    <n v="77"/>
    <n v="72"/>
    <n v="27"/>
    <n v="68.010000000000005"/>
    <n v="46.94"/>
    <n v="20"/>
    <s v="Rainy"/>
    <n v="1"/>
    <n v="46.58"/>
    <s v="Winter"/>
    <n v="0.93506493506493504"/>
    <n v="0.35999999999999943"/>
  </r>
  <r>
    <d v="2022-01-03T00:00:00"/>
    <s v="S005"/>
    <s v="P0013"/>
    <x v="1"/>
    <s v="South"/>
    <n v="191"/>
    <n v="190"/>
    <n v="126"/>
    <n v="205.54"/>
    <n v="23.04"/>
    <n v="5"/>
    <s v="Snowy"/>
    <n v="0"/>
    <n v="19.329999999999998"/>
    <s v="Autumn"/>
    <n v="0.99476439790575921"/>
    <n v="3.7100000000000009"/>
  </r>
  <r>
    <d v="2022-01-03T00:00:00"/>
    <s v="S005"/>
    <s v="P0014"/>
    <x v="1"/>
    <s v="North"/>
    <n v="419"/>
    <n v="263"/>
    <n v="189"/>
    <n v="263.83"/>
    <n v="28.02"/>
    <n v="5"/>
    <s v="Sunny"/>
    <n v="1"/>
    <n v="23.72"/>
    <s v="Autumn"/>
    <n v="0.62768496420047737"/>
    <n v="4.3000000000000007"/>
  </r>
  <r>
    <d v="2022-01-03T00:00:00"/>
    <s v="S005"/>
    <s v="P0015"/>
    <x v="1"/>
    <s v="South"/>
    <n v="184"/>
    <n v="126"/>
    <n v="175"/>
    <n v="143.76"/>
    <n v="86.82"/>
    <n v="20"/>
    <s v="Cloudy"/>
    <n v="0"/>
    <n v="85.26"/>
    <s v="Autumn"/>
    <n v="0.68478260869565222"/>
    <n v="1.5599999999999881"/>
  </r>
  <r>
    <d v="2022-01-03T00:00:00"/>
    <s v="S005"/>
    <s v="P0016"/>
    <x v="4"/>
    <s v="North"/>
    <n v="361"/>
    <n v="17"/>
    <n v="171"/>
    <n v="25.61"/>
    <n v="80.31"/>
    <n v="5"/>
    <s v="Cloudy"/>
    <n v="1"/>
    <n v="76.56"/>
    <s v="Spring"/>
    <n v="4.7091412742382273E-2"/>
    <n v="3.75"/>
  </r>
  <r>
    <d v="2022-01-03T00:00:00"/>
    <s v="S005"/>
    <s v="P0017"/>
    <x v="1"/>
    <s v="East"/>
    <n v="154"/>
    <n v="19"/>
    <n v="116"/>
    <n v="37.450000000000003"/>
    <n v="41.28"/>
    <n v="10"/>
    <s v="Rainy"/>
    <n v="0"/>
    <n v="40.590000000000003"/>
    <s v="Spring"/>
    <n v="0.12337662337662338"/>
    <n v="0.68999999999999773"/>
  </r>
  <r>
    <d v="2022-01-03T00:00:00"/>
    <s v="S005"/>
    <s v="P0018"/>
    <x v="1"/>
    <s v="North"/>
    <n v="376"/>
    <n v="36"/>
    <n v="53"/>
    <n v="43.47"/>
    <n v="38.42"/>
    <n v="0"/>
    <s v="Snowy"/>
    <n v="1"/>
    <n v="35.979999999999997"/>
    <s v="Winter"/>
    <n v="9.5744680851063829E-2"/>
    <n v="2.4400000000000048"/>
  </r>
  <r>
    <d v="2022-01-03T00:00:00"/>
    <s v="S005"/>
    <s v="P0019"/>
    <x v="1"/>
    <s v="North"/>
    <n v="268"/>
    <n v="207"/>
    <n v="177"/>
    <n v="198.44"/>
    <n v="59.93"/>
    <n v="20"/>
    <s v="Snowy"/>
    <n v="0"/>
    <n v="64.67"/>
    <s v="Autumn"/>
    <n v="0.77238805970149249"/>
    <n v="-4.740000000000002"/>
  </r>
  <r>
    <d v="2022-01-03T00:00:00"/>
    <s v="S005"/>
    <s v="P0020"/>
    <x v="1"/>
    <s v="South"/>
    <n v="451"/>
    <n v="91"/>
    <n v="193"/>
    <n v="99.88"/>
    <n v="66.760000000000005"/>
    <n v="5"/>
    <s v="Sunny"/>
    <n v="0"/>
    <n v="62.53"/>
    <s v="Summer"/>
    <n v="0.20177383592017739"/>
    <n v="4.230000000000004"/>
  </r>
  <r>
    <d v="2022-01-04T00:00:00"/>
    <s v="S001"/>
    <s v="P0001"/>
    <x v="0"/>
    <s v="South"/>
    <n v="85"/>
    <n v="58"/>
    <n v="193"/>
    <n v="52.87"/>
    <n v="77.88"/>
    <n v="15"/>
    <s v="Cloudy"/>
    <n v="1"/>
    <n v="75.989999999999995"/>
    <s v="Winter"/>
    <n v="0.68235294117647061"/>
    <n v="1.8900000000000006"/>
  </r>
  <r>
    <d v="2022-01-04T00:00:00"/>
    <s v="S001"/>
    <s v="P0002"/>
    <x v="2"/>
    <s v="North"/>
    <n v="91"/>
    <n v="91"/>
    <n v="142"/>
    <n v="82.65"/>
    <n v="88.22"/>
    <n v="15"/>
    <s v="Sunny"/>
    <n v="1"/>
    <n v="87.44"/>
    <s v="Autumn"/>
    <n v="1"/>
    <n v="0.78000000000000114"/>
  </r>
  <r>
    <d v="2022-01-04T00:00:00"/>
    <s v="S001"/>
    <s v="P0003"/>
    <x v="1"/>
    <s v="South"/>
    <n v="184"/>
    <n v="70"/>
    <n v="191"/>
    <n v="82.51"/>
    <n v="10.55"/>
    <n v="15"/>
    <s v="Cloudy"/>
    <n v="0"/>
    <n v="7.6"/>
    <s v="Winter"/>
    <n v="0.38043478260869568"/>
    <n v="2.9500000000000011"/>
  </r>
  <r>
    <d v="2022-01-04T00:00:00"/>
    <s v="S001"/>
    <s v="P0004"/>
    <x v="2"/>
    <s v="North"/>
    <n v="209"/>
    <n v="0"/>
    <n v="123"/>
    <n v="15.37"/>
    <n v="44.81"/>
    <n v="5"/>
    <s v="Sunny"/>
    <n v="1"/>
    <n v="45.53"/>
    <s v="Winter"/>
    <n v="0"/>
    <n v="-0.71999999999999886"/>
  </r>
  <r>
    <d v="2022-01-04T00:00:00"/>
    <s v="S001"/>
    <s v="P0005"/>
    <x v="2"/>
    <s v="East"/>
    <n v="470"/>
    <n v="32"/>
    <n v="192"/>
    <n v="45.57"/>
    <n v="69.650000000000006"/>
    <n v="10"/>
    <s v="Snowy"/>
    <n v="0"/>
    <n v="73.5"/>
    <s v="Spring"/>
    <n v="6.8085106382978725E-2"/>
    <n v="-3.8499999999999943"/>
  </r>
  <r>
    <d v="2022-01-04T00:00:00"/>
    <s v="S001"/>
    <s v="P0006"/>
    <x v="4"/>
    <s v="South"/>
    <n v="127"/>
    <n v="8"/>
    <n v="84"/>
    <n v="0.54"/>
    <n v="53.35"/>
    <n v="20"/>
    <s v="Cloudy"/>
    <n v="0"/>
    <n v="55.07"/>
    <s v="Spring"/>
    <n v="6.2992125984251968E-2"/>
    <n v="-1.7199999999999989"/>
  </r>
  <r>
    <d v="2022-01-04T00:00:00"/>
    <s v="S001"/>
    <s v="P0007"/>
    <x v="0"/>
    <s v="North"/>
    <n v="367"/>
    <n v="341"/>
    <n v="39"/>
    <n v="336.71"/>
    <n v="33.47"/>
    <n v="5"/>
    <s v="Cloudy"/>
    <n v="0"/>
    <n v="28.95"/>
    <s v="Spring"/>
    <n v="0.92915531335149859"/>
    <n v="4.5199999999999996"/>
  </r>
  <r>
    <d v="2022-01-04T00:00:00"/>
    <s v="S001"/>
    <s v="P0008"/>
    <x v="2"/>
    <s v="East"/>
    <n v="404"/>
    <n v="347"/>
    <n v="183"/>
    <n v="350.96"/>
    <n v="61.1"/>
    <n v="20"/>
    <s v="Sunny"/>
    <n v="0"/>
    <n v="58.46"/>
    <s v="Winter"/>
    <n v="0.8589108910891089"/>
    <n v="2.6400000000000006"/>
  </r>
  <r>
    <d v="2022-01-04T00:00:00"/>
    <s v="S001"/>
    <s v="P0009"/>
    <x v="0"/>
    <s v="North"/>
    <n v="403"/>
    <n v="15"/>
    <n v="187"/>
    <n v="26.72"/>
    <n v="45.25"/>
    <n v="10"/>
    <s v="Sunny"/>
    <n v="0"/>
    <n v="46.74"/>
    <s v="Summer"/>
    <n v="3.7220843672456573E-2"/>
    <n v="-1.490000000000002"/>
  </r>
  <r>
    <d v="2022-01-04T00:00:00"/>
    <s v="S001"/>
    <s v="P0010"/>
    <x v="1"/>
    <s v="East"/>
    <n v="494"/>
    <n v="85"/>
    <n v="122"/>
    <n v="92.86"/>
    <n v="94.98"/>
    <n v="20"/>
    <s v="Rainy"/>
    <n v="0"/>
    <n v="98.87"/>
    <s v="Autumn"/>
    <n v="0.17206477732793521"/>
    <n v="-3.8900000000000006"/>
  </r>
  <r>
    <d v="2022-01-04T00:00:00"/>
    <s v="S001"/>
    <s v="P0011"/>
    <x v="1"/>
    <s v="South"/>
    <n v="421"/>
    <n v="30"/>
    <n v="33"/>
    <n v="49.2"/>
    <n v="24.21"/>
    <n v="0"/>
    <s v="Sunny"/>
    <n v="0"/>
    <n v="25.48"/>
    <s v="Spring"/>
    <n v="7.1258907363420429E-2"/>
    <n v="-1.2699999999999996"/>
  </r>
  <r>
    <d v="2022-01-04T00:00:00"/>
    <s v="S001"/>
    <s v="P0012"/>
    <x v="2"/>
    <s v="West"/>
    <n v="150"/>
    <n v="136"/>
    <n v="129"/>
    <n v="140.63999999999999"/>
    <n v="66.069999999999993"/>
    <n v="5"/>
    <s v="Snowy"/>
    <n v="0"/>
    <n v="70.84"/>
    <s v="Winter"/>
    <n v="0.90666666666666662"/>
    <n v="-4.7700000000000102"/>
  </r>
  <r>
    <d v="2022-01-04T00:00:00"/>
    <s v="S001"/>
    <s v="P0013"/>
    <x v="1"/>
    <s v="North"/>
    <n v="94"/>
    <n v="31"/>
    <n v="174"/>
    <n v="46.7"/>
    <n v="34.68"/>
    <n v="10"/>
    <s v="Sunny"/>
    <n v="0"/>
    <n v="33.729999999999997"/>
    <s v="Winter"/>
    <n v="0.32978723404255317"/>
    <n v="0.95000000000000284"/>
  </r>
  <r>
    <d v="2022-01-04T00:00:00"/>
    <s v="S001"/>
    <s v="P0014"/>
    <x v="4"/>
    <s v="East"/>
    <n v="77"/>
    <n v="7"/>
    <n v="76"/>
    <n v="22.66"/>
    <n v="98.28"/>
    <n v="15"/>
    <s v="Cloudy"/>
    <n v="1"/>
    <n v="95.38"/>
    <s v="Spring"/>
    <n v="9.0909090909090912E-2"/>
    <n v="2.9000000000000057"/>
  </r>
  <r>
    <d v="2022-01-04T00:00:00"/>
    <s v="S001"/>
    <s v="P0015"/>
    <x v="2"/>
    <s v="West"/>
    <n v="430"/>
    <n v="377"/>
    <n v="118"/>
    <n v="371.89"/>
    <n v="87.24"/>
    <n v="10"/>
    <s v="Cloudy"/>
    <n v="1"/>
    <n v="88.66"/>
    <s v="Spring"/>
    <n v="0.87674418604651161"/>
    <n v="-1.4200000000000017"/>
  </r>
  <r>
    <d v="2022-01-04T00:00:00"/>
    <s v="S001"/>
    <s v="P0016"/>
    <x v="0"/>
    <s v="North"/>
    <n v="168"/>
    <n v="28"/>
    <n v="32"/>
    <n v="33.200000000000003"/>
    <n v="93.4"/>
    <n v="10"/>
    <s v="Sunny"/>
    <n v="0"/>
    <n v="93.22"/>
    <s v="Summer"/>
    <n v="0.16666666666666666"/>
    <n v="0.18000000000000682"/>
  </r>
  <r>
    <d v="2022-01-04T00:00:00"/>
    <s v="S001"/>
    <s v="P0017"/>
    <x v="1"/>
    <s v="West"/>
    <n v="353"/>
    <n v="348"/>
    <n v="36"/>
    <n v="349.59"/>
    <n v="53.02"/>
    <n v="0"/>
    <s v="Cloudy"/>
    <n v="1"/>
    <n v="57.08"/>
    <s v="Autumn"/>
    <n v="0.98583569405099147"/>
    <n v="-4.0599999999999952"/>
  </r>
  <r>
    <d v="2022-01-04T00:00:00"/>
    <s v="S001"/>
    <s v="P0018"/>
    <x v="0"/>
    <s v="South"/>
    <n v="380"/>
    <n v="258"/>
    <n v="66"/>
    <n v="258.58"/>
    <n v="58.54"/>
    <n v="5"/>
    <s v="Sunny"/>
    <n v="1"/>
    <n v="60.77"/>
    <s v="Summer"/>
    <n v="0.67894736842105263"/>
    <n v="-2.230000000000004"/>
  </r>
  <r>
    <d v="2022-01-04T00:00:00"/>
    <s v="S001"/>
    <s v="P0019"/>
    <x v="1"/>
    <s v="West"/>
    <n v="127"/>
    <n v="41"/>
    <n v="191"/>
    <n v="50.38"/>
    <n v="63.29"/>
    <n v="15"/>
    <s v="Sunny"/>
    <n v="1"/>
    <n v="61.73"/>
    <s v="Autumn"/>
    <n v="0.32283464566929132"/>
    <n v="1.5600000000000023"/>
  </r>
  <r>
    <d v="2022-01-04T00:00:00"/>
    <s v="S001"/>
    <s v="P0020"/>
    <x v="2"/>
    <s v="North"/>
    <n v="153"/>
    <n v="49"/>
    <n v="139"/>
    <n v="44.55"/>
    <n v="10.93"/>
    <n v="0"/>
    <s v="Snowy"/>
    <n v="1"/>
    <n v="10.76"/>
    <s v="Winter"/>
    <n v="0.3202614379084967"/>
    <n v="0.16999999999999993"/>
  </r>
  <r>
    <d v="2022-01-04T00:00:00"/>
    <s v="S002"/>
    <s v="P0001"/>
    <x v="4"/>
    <s v="North"/>
    <n v="108"/>
    <n v="83"/>
    <n v="25"/>
    <n v="85.5"/>
    <n v="45.49"/>
    <n v="5"/>
    <s v="Sunny"/>
    <n v="1"/>
    <n v="44.33"/>
    <s v="Spring"/>
    <n v="0.76851851851851849"/>
    <n v="1.1600000000000037"/>
  </r>
  <r>
    <d v="2022-01-04T00:00:00"/>
    <s v="S002"/>
    <s v="P0002"/>
    <x v="3"/>
    <s v="West"/>
    <n v="109"/>
    <n v="60"/>
    <n v="172"/>
    <n v="71.47"/>
    <n v="52.33"/>
    <n v="10"/>
    <s v="Cloudy"/>
    <n v="1"/>
    <n v="51.78"/>
    <s v="Summer"/>
    <n v="0.55045871559633031"/>
    <n v="0.54999999999999716"/>
  </r>
  <r>
    <d v="2022-01-04T00:00:00"/>
    <s v="S002"/>
    <s v="P0003"/>
    <x v="1"/>
    <s v="North"/>
    <n v="493"/>
    <n v="448"/>
    <n v="113"/>
    <n v="459.44"/>
    <n v="41.55"/>
    <n v="15"/>
    <s v="Rainy"/>
    <n v="0"/>
    <n v="44.02"/>
    <s v="Winter"/>
    <n v="0.90872210953346855"/>
    <n v="-2.470000000000006"/>
  </r>
  <r>
    <d v="2022-01-04T00:00:00"/>
    <s v="S002"/>
    <s v="P0004"/>
    <x v="1"/>
    <s v="East"/>
    <n v="289"/>
    <n v="11"/>
    <n v="21"/>
    <n v="26.96"/>
    <n v="58.13"/>
    <n v="0"/>
    <s v="Sunny"/>
    <n v="1"/>
    <n v="61.63"/>
    <s v="Summer"/>
    <n v="3.8062283737024222E-2"/>
    <n v="-3.5"/>
  </r>
  <r>
    <d v="2022-01-04T00:00:00"/>
    <s v="S002"/>
    <s v="P0005"/>
    <x v="0"/>
    <s v="East"/>
    <n v="425"/>
    <n v="390"/>
    <n v="175"/>
    <n v="407.4"/>
    <n v="25.67"/>
    <n v="10"/>
    <s v="Snowy"/>
    <n v="0"/>
    <n v="23.55"/>
    <s v="Spring"/>
    <n v="0.91764705882352937"/>
    <n v="2.120000000000001"/>
  </r>
  <r>
    <d v="2022-01-04T00:00:00"/>
    <s v="S002"/>
    <s v="P0006"/>
    <x v="4"/>
    <s v="West"/>
    <n v="118"/>
    <n v="81"/>
    <n v="139"/>
    <n v="88.67"/>
    <n v="33.96"/>
    <n v="0"/>
    <s v="Sunny"/>
    <n v="0"/>
    <n v="29.22"/>
    <s v="Summer"/>
    <n v="0.68644067796610164"/>
    <n v="4.740000000000002"/>
  </r>
  <r>
    <d v="2022-01-04T00:00:00"/>
    <s v="S002"/>
    <s v="P0007"/>
    <x v="2"/>
    <s v="North"/>
    <n v="449"/>
    <n v="121"/>
    <n v="118"/>
    <n v="132.54"/>
    <n v="81.349999999999994"/>
    <n v="20"/>
    <s v="Cloudy"/>
    <n v="0"/>
    <n v="82.18"/>
    <s v="Spring"/>
    <n v="0.26948775055679286"/>
    <n v="-0.83000000000001251"/>
  </r>
  <r>
    <d v="2022-01-04T00:00:00"/>
    <s v="S002"/>
    <s v="P0008"/>
    <x v="0"/>
    <s v="West"/>
    <n v="184"/>
    <n v="44"/>
    <n v="152"/>
    <n v="52.26"/>
    <n v="57.34"/>
    <n v="20"/>
    <s v="Rainy"/>
    <n v="0"/>
    <n v="56.99"/>
    <s v="Spring"/>
    <n v="0.2391304347826087"/>
    <n v="0.35000000000000142"/>
  </r>
  <r>
    <d v="2022-01-04T00:00:00"/>
    <s v="S002"/>
    <s v="P0009"/>
    <x v="1"/>
    <s v="East"/>
    <n v="239"/>
    <n v="88"/>
    <n v="31"/>
    <n v="104.13"/>
    <n v="50.36"/>
    <n v="15"/>
    <s v="Cloudy"/>
    <n v="0"/>
    <n v="47.77"/>
    <s v="Winter"/>
    <n v="0.3682008368200837"/>
    <n v="2.5899999999999963"/>
  </r>
  <r>
    <d v="2022-01-04T00:00:00"/>
    <s v="S002"/>
    <s v="P0010"/>
    <x v="0"/>
    <s v="West"/>
    <n v="216"/>
    <n v="142"/>
    <n v="172"/>
    <n v="138.75"/>
    <n v="51.34"/>
    <n v="15"/>
    <s v="Rainy"/>
    <n v="1"/>
    <n v="53.35"/>
    <s v="Autumn"/>
    <n v="0.65740740740740744"/>
    <n v="-2.009999999999998"/>
  </r>
  <r>
    <d v="2022-01-04T00:00:00"/>
    <s v="S002"/>
    <s v="P0011"/>
    <x v="1"/>
    <s v="North"/>
    <n v="291"/>
    <n v="48"/>
    <n v="69"/>
    <n v="48.65"/>
    <n v="13.09"/>
    <n v="20"/>
    <s v="Snowy"/>
    <n v="1"/>
    <n v="11.98"/>
    <s v="Summer"/>
    <n v="0.16494845360824742"/>
    <n v="1.1099999999999994"/>
  </r>
  <r>
    <d v="2022-01-04T00:00:00"/>
    <s v="S002"/>
    <s v="P0012"/>
    <x v="2"/>
    <s v="North"/>
    <n v="74"/>
    <n v="61"/>
    <n v="87"/>
    <n v="67.72"/>
    <n v="94.85"/>
    <n v="0"/>
    <s v="Cloudy"/>
    <n v="0"/>
    <n v="93.92"/>
    <s v="Winter"/>
    <n v="0.82432432432432434"/>
    <n v="0.92999999999999261"/>
  </r>
  <r>
    <d v="2022-01-04T00:00:00"/>
    <s v="S002"/>
    <s v="P0013"/>
    <x v="2"/>
    <s v="East"/>
    <n v="429"/>
    <n v="140"/>
    <n v="180"/>
    <n v="151.22"/>
    <n v="16.47"/>
    <n v="5"/>
    <s v="Sunny"/>
    <n v="0"/>
    <n v="17.47"/>
    <s v="Summer"/>
    <n v="0.32634032634032634"/>
    <n v="-1"/>
  </r>
  <r>
    <d v="2022-01-04T00:00:00"/>
    <s v="S002"/>
    <s v="P0014"/>
    <x v="1"/>
    <s v="West"/>
    <n v="467"/>
    <n v="390"/>
    <n v="188"/>
    <n v="408.18"/>
    <n v="82.15"/>
    <n v="15"/>
    <s v="Cloudy"/>
    <n v="1"/>
    <n v="79.63"/>
    <s v="Summer"/>
    <n v="0.83511777301927193"/>
    <n v="2.5200000000000102"/>
  </r>
  <r>
    <d v="2022-01-04T00:00:00"/>
    <s v="S002"/>
    <s v="P0015"/>
    <x v="1"/>
    <s v="North"/>
    <n v="121"/>
    <n v="91"/>
    <n v="197"/>
    <n v="93.99"/>
    <n v="61.13"/>
    <n v="5"/>
    <s v="Rainy"/>
    <n v="0"/>
    <n v="62.56"/>
    <s v="Summer"/>
    <n v="0.75206611570247939"/>
    <n v="-1.4299999999999997"/>
  </r>
  <r>
    <d v="2022-01-04T00:00:00"/>
    <s v="S002"/>
    <s v="P0016"/>
    <x v="0"/>
    <s v="East"/>
    <n v="134"/>
    <n v="32"/>
    <n v="107"/>
    <n v="32.03"/>
    <n v="63.74"/>
    <n v="10"/>
    <s v="Snowy"/>
    <n v="0"/>
    <n v="61.83"/>
    <s v="Winter"/>
    <n v="0.23880597014925373"/>
    <n v="1.9100000000000037"/>
  </r>
  <r>
    <d v="2022-01-04T00:00:00"/>
    <s v="S002"/>
    <s v="P0017"/>
    <x v="2"/>
    <s v="East"/>
    <n v="152"/>
    <n v="60"/>
    <n v="92"/>
    <n v="54.96"/>
    <n v="66.78"/>
    <n v="10"/>
    <s v="Snowy"/>
    <n v="1"/>
    <n v="67.89"/>
    <s v="Winter"/>
    <n v="0.39473684210526316"/>
    <n v="-1.1099999999999994"/>
  </r>
  <r>
    <d v="2022-01-04T00:00:00"/>
    <s v="S002"/>
    <s v="P0018"/>
    <x v="4"/>
    <s v="South"/>
    <n v="236"/>
    <n v="206"/>
    <n v="63"/>
    <n v="220.44"/>
    <n v="30.12"/>
    <n v="15"/>
    <s v="Sunny"/>
    <n v="1"/>
    <n v="27.89"/>
    <s v="Winter"/>
    <n v="0.8728813559322034"/>
    <n v="2.2300000000000004"/>
  </r>
  <r>
    <d v="2022-01-04T00:00:00"/>
    <s v="S002"/>
    <s v="P0019"/>
    <x v="0"/>
    <s v="West"/>
    <n v="253"/>
    <n v="108"/>
    <n v="36"/>
    <n v="107.84"/>
    <n v="31.26"/>
    <n v="10"/>
    <s v="Sunny"/>
    <n v="1"/>
    <n v="33.520000000000003"/>
    <s v="Summer"/>
    <n v="0.4268774703557312"/>
    <n v="-2.2600000000000016"/>
  </r>
  <r>
    <d v="2022-01-04T00:00:00"/>
    <s v="S002"/>
    <s v="P0020"/>
    <x v="3"/>
    <s v="East"/>
    <n v="403"/>
    <n v="349"/>
    <n v="42"/>
    <n v="340.49"/>
    <n v="21.47"/>
    <n v="0"/>
    <s v="Rainy"/>
    <n v="0"/>
    <n v="17.22"/>
    <s v="Winter"/>
    <n v="0.86600496277915628"/>
    <n v="4.25"/>
  </r>
  <r>
    <d v="2022-01-04T00:00:00"/>
    <s v="S003"/>
    <s v="P0001"/>
    <x v="3"/>
    <s v="South"/>
    <n v="335"/>
    <n v="271"/>
    <n v="147"/>
    <n v="276.13"/>
    <n v="81.010000000000005"/>
    <n v="20"/>
    <s v="Rainy"/>
    <n v="0"/>
    <n v="83.63"/>
    <s v="Summer"/>
    <n v="0.80895522388059704"/>
    <n v="-2.6199999999999903"/>
  </r>
  <r>
    <d v="2022-01-04T00:00:00"/>
    <s v="S003"/>
    <s v="P0002"/>
    <x v="2"/>
    <s v="South"/>
    <n v="293"/>
    <n v="202"/>
    <n v="130"/>
    <n v="215.12"/>
    <n v="59.97"/>
    <n v="5"/>
    <s v="Snowy"/>
    <n v="1"/>
    <n v="61.76"/>
    <s v="Spring"/>
    <n v="0.68941979522184305"/>
    <n v="-1.7899999999999991"/>
  </r>
  <r>
    <d v="2022-01-04T00:00:00"/>
    <s v="S003"/>
    <s v="P0003"/>
    <x v="1"/>
    <s v="North"/>
    <n v="169"/>
    <n v="34"/>
    <n v="91"/>
    <n v="24.17"/>
    <n v="26.87"/>
    <n v="10"/>
    <s v="Snowy"/>
    <n v="0"/>
    <n v="30.53"/>
    <s v="Summer"/>
    <n v="0.20118343195266272"/>
    <n v="-3.66"/>
  </r>
  <r>
    <d v="2022-01-04T00:00:00"/>
    <s v="S003"/>
    <s v="P0004"/>
    <x v="4"/>
    <s v="West"/>
    <n v="294"/>
    <n v="165"/>
    <n v="43"/>
    <n v="164.1"/>
    <n v="99.12"/>
    <n v="10"/>
    <s v="Rainy"/>
    <n v="0"/>
    <n v="97.69"/>
    <s v="Summer"/>
    <n v="0.56122448979591832"/>
    <n v="1.4300000000000068"/>
  </r>
  <r>
    <d v="2022-01-04T00:00:00"/>
    <s v="S003"/>
    <s v="P0005"/>
    <x v="0"/>
    <s v="North"/>
    <n v="69"/>
    <n v="2"/>
    <n v="161"/>
    <n v="21.27"/>
    <n v="24.29"/>
    <n v="5"/>
    <s v="Rainy"/>
    <n v="0"/>
    <n v="25.5"/>
    <s v="Summer"/>
    <n v="2.8985507246376812E-2"/>
    <n v="-1.2100000000000009"/>
  </r>
  <r>
    <d v="2022-01-04T00:00:00"/>
    <s v="S003"/>
    <s v="P0006"/>
    <x v="2"/>
    <s v="East"/>
    <n v="328"/>
    <n v="308"/>
    <n v="113"/>
    <n v="323.67"/>
    <n v="18.48"/>
    <n v="0"/>
    <s v="Rainy"/>
    <n v="1"/>
    <n v="17.760000000000002"/>
    <s v="Autumn"/>
    <n v="0.93902439024390238"/>
    <n v="0.71999999999999886"/>
  </r>
  <r>
    <d v="2022-01-04T00:00:00"/>
    <s v="S003"/>
    <s v="P0007"/>
    <x v="1"/>
    <s v="North"/>
    <n v="173"/>
    <n v="76"/>
    <n v="157"/>
    <n v="75.540000000000006"/>
    <n v="54.73"/>
    <n v="10"/>
    <s v="Snowy"/>
    <n v="1"/>
    <n v="52.32"/>
    <s v="Spring"/>
    <n v="0.43930635838150289"/>
    <n v="2.4099999999999966"/>
  </r>
  <r>
    <d v="2022-01-04T00:00:00"/>
    <s v="S003"/>
    <s v="P0008"/>
    <x v="1"/>
    <s v="East"/>
    <n v="108"/>
    <n v="91"/>
    <n v="129"/>
    <n v="95.55"/>
    <n v="59.61"/>
    <n v="5"/>
    <s v="Rainy"/>
    <n v="1"/>
    <n v="57.85"/>
    <s v="Summer"/>
    <n v="0.84259259259259256"/>
    <n v="1.759999999999998"/>
  </r>
  <r>
    <d v="2022-01-04T00:00:00"/>
    <s v="S003"/>
    <s v="P0009"/>
    <x v="3"/>
    <s v="West"/>
    <n v="494"/>
    <n v="113"/>
    <n v="84"/>
    <n v="121.8"/>
    <n v="14.64"/>
    <n v="20"/>
    <s v="Cloudy"/>
    <n v="1"/>
    <n v="12.8"/>
    <s v="Spring"/>
    <n v="0.22874493927125505"/>
    <n v="1.8399999999999999"/>
  </r>
  <r>
    <d v="2022-01-04T00:00:00"/>
    <s v="S003"/>
    <s v="P0010"/>
    <x v="2"/>
    <s v="East"/>
    <n v="366"/>
    <n v="274"/>
    <n v="102"/>
    <n v="268.60000000000002"/>
    <n v="63.63"/>
    <n v="15"/>
    <s v="Cloudy"/>
    <n v="1"/>
    <n v="62.96"/>
    <s v="Winter"/>
    <n v="0.74863387978142082"/>
    <n v="0.67000000000000171"/>
  </r>
  <r>
    <d v="2022-01-04T00:00:00"/>
    <s v="S003"/>
    <s v="P0011"/>
    <x v="1"/>
    <s v="East"/>
    <n v="441"/>
    <n v="116"/>
    <n v="52"/>
    <n v="128.01"/>
    <n v="95.99"/>
    <n v="10"/>
    <s v="Sunny"/>
    <n v="0"/>
    <n v="95.78"/>
    <s v="Autumn"/>
    <n v="0.26303854875283444"/>
    <n v="0.20999999999999375"/>
  </r>
  <r>
    <d v="2022-01-04T00:00:00"/>
    <s v="S003"/>
    <s v="P0012"/>
    <x v="2"/>
    <s v="North"/>
    <n v="181"/>
    <n v="5"/>
    <n v="37"/>
    <n v="18.13"/>
    <n v="75.41"/>
    <n v="5"/>
    <s v="Rainy"/>
    <n v="1"/>
    <n v="75.03"/>
    <s v="Summer"/>
    <n v="2.7624309392265192E-2"/>
    <n v="0.37999999999999545"/>
  </r>
  <r>
    <d v="2022-01-04T00:00:00"/>
    <s v="S003"/>
    <s v="P0013"/>
    <x v="3"/>
    <s v="East"/>
    <n v="330"/>
    <n v="115"/>
    <n v="116"/>
    <n v="111.27"/>
    <n v="24.19"/>
    <n v="15"/>
    <s v="Rainy"/>
    <n v="1"/>
    <n v="28.03"/>
    <s v="Autumn"/>
    <n v="0.34848484848484851"/>
    <n v="-3.84"/>
  </r>
  <r>
    <d v="2022-01-04T00:00:00"/>
    <s v="S003"/>
    <s v="P0014"/>
    <x v="4"/>
    <s v="East"/>
    <n v="228"/>
    <n v="79"/>
    <n v="158"/>
    <n v="75.88"/>
    <n v="85.33"/>
    <n v="0"/>
    <s v="Sunny"/>
    <n v="1"/>
    <n v="82.64"/>
    <s v="Spring"/>
    <n v="0.34649122807017546"/>
    <n v="2.6899999999999977"/>
  </r>
  <r>
    <d v="2022-01-04T00:00:00"/>
    <s v="S003"/>
    <s v="P0015"/>
    <x v="2"/>
    <s v="East"/>
    <n v="344"/>
    <n v="223"/>
    <n v="53"/>
    <n v="235.42"/>
    <n v="15.58"/>
    <n v="15"/>
    <s v="Cloudy"/>
    <n v="0"/>
    <n v="19.75"/>
    <s v="Winter"/>
    <n v="0.64825581395348841"/>
    <n v="-4.17"/>
  </r>
  <r>
    <d v="2022-01-04T00:00:00"/>
    <s v="S003"/>
    <s v="P0016"/>
    <x v="3"/>
    <s v="West"/>
    <n v="336"/>
    <n v="258"/>
    <n v="175"/>
    <n v="260.26"/>
    <n v="19.63"/>
    <n v="10"/>
    <s v="Cloudy"/>
    <n v="1"/>
    <n v="20.65"/>
    <s v="Summer"/>
    <n v="0.7678571428571429"/>
    <n v="-1.0199999999999996"/>
  </r>
  <r>
    <d v="2022-01-04T00:00:00"/>
    <s v="S003"/>
    <s v="P0017"/>
    <x v="1"/>
    <s v="West"/>
    <n v="355"/>
    <n v="236"/>
    <n v="26"/>
    <n v="248.1"/>
    <n v="53.81"/>
    <n v="0"/>
    <s v="Rainy"/>
    <n v="0"/>
    <n v="49.72"/>
    <s v="Winter"/>
    <n v="0.6647887323943662"/>
    <n v="4.0900000000000034"/>
  </r>
  <r>
    <d v="2022-01-04T00:00:00"/>
    <s v="S003"/>
    <s v="P0018"/>
    <x v="1"/>
    <s v="North"/>
    <n v="431"/>
    <n v="309"/>
    <n v="165"/>
    <n v="323.61"/>
    <n v="37.49"/>
    <n v="20"/>
    <s v="Cloudy"/>
    <n v="0"/>
    <n v="40.659999999999997"/>
    <s v="Autumn"/>
    <n v="0.71693735498839906"/>
    <n v="-3.1699999999999946"/>
  </r>
  <r>
    <d v="2022-01-04T00:00:00"/>
    <s v="S003"/>
    <s v="P0019"/>
    <x v="0"/>
    <s v="North"/>
    <n v="172"/>
    <n v="32"/>
    <n v="160"/>
    <n v="26.96"/>
    <n v="38.200000000000003"/>
    <n v="0"/>
    <s v="Rainy"/>
    <n v="0"/>
    <n v="38.42"/>
    <s v="Summer"/>
    <n v="0.18604651162790697"/>
    <n v="-0.21999999999999886"/>
  </r>
  <r>
    <d v="2022-01-04T00:00:00"/>
    <s v="S003"/>
    <s v="P0020"/>
    <x v="4"/>
    <s v="South"/>
    <n v="145"/>
    <n v="44"/>
    <n v="122"/>
    <n v="43.44"/>
    <n v="84.13"/>
    <n v="15"/>
    <s v="Snowy"/>
    <n v="1"/>
    <n v="84.05"/>
    <s v="Winter"/>
    <n v="0.30344827586206896"/>
    <n v="7.9999999999998295E-2"/>
  </r>
  <r>
    <d v="2022-01-04T00:00:00"/>
    <s v="S004"/>
    <s v="P0001"/>
    <x v="3"/>
    <s v="South"/>
    <n v="487"/>
    <n v="145"/>
    <n v="149"/>
    <n v="154.43"/>
    <n v="20.39"/>
    <n v="15"/>
    <s v="Sunny"/>
    <n v="0"/>
    <n v="21.17"/>
    <s v="Summer"/>
    <n v="0.29774127310061604"/>
    <n v="-0.78000000000000114"/>
  </r>
  <r>
    <d v="2022-01-04T00:00:00"/>
    <s v="S004"/>
    <s v="P0002"/>
    <x v="0"/>
    <s v="North"/>
    <n v="216"/>
    <n v="150"/>
    <n v="162"/>
    <n v="141.65"/>
    <n v="70.459999999999994"/>
    <n v="20"/>
    <s v="Sunny"/>
    <n v="1"/>
    <n v="66.42"/>
    <s v="Summer"/>
    <n v="0.69444444444444442"/>
    <n v="4.039999999999992"/>
  </r>
  <r>
    <d v="2022-01-04T00:00:00"/>
    <s v="S004"/>
    <s v="P0003"/>
    <x v="1"/>
    <s v="West"/>
    <n v="236"/>
    <n v="40"/>
    <n v="104"/>
    <n v="36.090000000000003"/>
    <n v="53.13"/>
    <n v="5"/>
    <s v="Snowy"/>
    <n v="1"/>
    <n v="48.66"/>
    <s v="Spring"/>
    <n v="0.16949152542372881"/>
    <n v="4.470000000000006"/>
  </r>
  <r>
    <d v="2022-01-04T00:00:00"/>
    <s v="S004"/>
    <s v="P0004"/>
    <x v="1"/>
    <s v="West"/>
    <n v="260"/>
    <n v="245"/>
    <n v="199"/>
    <n v="256.94"/>
    <n v="82"/>
    <n v="10"/>
    <s v="Sunny"/>
    <n v="1"/>
    <n v="81.290000000000006"/>
    <s v="Winter"/>
    <n v="0.94230769230769229"/>
    <n v="0.70999999999999375"/>
  </r>
  <r>
    <d v="2022-01-04T00:00:00"/>
    <s v="S004"/>
    <s v="P0005"/>
    <x v="3"/>
    <s v="North"/>
    <n v="435"/>
    <n v="241"/>
    <n v="160"/>
    <n v="255.72"/>
    <n v="75.55"/>
    <n v="15"/>
    <s v="Snowy"/>
    <n v="0"/>
    <n v="75.67"/>
    <s v="Autumn"/>
    <n v="0.55402298850574716"/>
    <n v="-0.12000000000000455"/>
  </r>
  <r>
    <d v="2022-01-04T00:00:00"/>
    <s v="S004"/>
    <s v="P0006"/>
    <x v="0"/>
    <s v="South"/>
    <n v="499"/>
    <n v="138"/>
    <n v="175"/>
    <n v="128.04"/>
    <n v="50.26"/>
    <n v="0"/>
    <s v="Cloudy"/>
    <n v="1"/>
    <n v="47.5"/>
    <s v="Autumn"/>
    <n v="0.27655310621242485"/>
    <n v="2.759999999999998"/>
  </r>
  <r>
    <d v="2022-01-04T00:00:00"/>
    <s v="S004"/>
    <s v="P0007"/>
    <x v="4"/>
    <s v="East"/>
    <n v="180"/>
    <n v="152"/>
    <n v="102"/>
    <n v="157.24"/>
    <n v="56.58"/>
    <n v="5"/>
    <s v="Cloudy"/>
    <n v="1"/>
    <n v="52.57"/>
    <s v="Autumn"/>
    <n v="0.84444444444444444"/>
    <n v="4.009999999999998"/>
  </r>
  <r>
    <d v="2022-01-04T00:00:00"/>
    <s v="S004"/>
    <s v="P0008"/>
    <x v="3"/>
    <s v="West"/>
    <n v="128"/>
    <n v="12"/>
    <n v="85"/>
    <n v="16.36"/>
    <n v="37.17"/>
    <n v="10"/>
    <s v="Rainy"/>
    <n v="1"/>
    <n v="32.409999999999997"/>
    <s v="Winter"/>
    <n v="9.375E-2"/>
    <n v="4.7600000000000051"/>
  </r>
  <r>
    <d v="2022-01-04T00:00:00"/>
    <s v="S004"/>
    <s v="P0009"/>
    <x v="3"/>
    <s v="South"/>
    <n v="291"/>
    <n v="158"/>
    <n v="35"/>
    <n v="158.22999999999999"/>
    <n v="82.75"/>
    <n v="20"/>
    <s v="Sunny"/>
    <n v="1"/>
    <n v="83.85"/>
    <s v="Winter"/>
    <n v="0.54295532646048106"/>
    <n v="-1.0999999999999943"/>
  </r>
  <r>
    <d v="2022-01-04T00:00:00"/>
    <s v="S004"/>
    <s v="P0010"/>
    <x v="4"/>
    <s v="North"/>
    <n v="444"/>
    <n v="265"/>
    <n v="187"/>
    <n v="264.83"/>
    <n v="23.53"/>
    <n v="10"/>
    <s v="Sunny"/>
    <n v="1"/>
    <n v="24.56"/>
    <s v="Spring"/>
    <n v="0.59684684684684686"/>
    <n v="-1.0299999999999976"/>
  </r>
  <r>
    <d v="2022-01-04T00:00:00"/>
    <s v="S004"/>
    <s v="P0011"/>
    <x v="4"/>
    <s v="East"/>
    <n v="281"/>
    <n v="240"/>
    <n v="182"/>
    <n v="243.7"/>
    <n v="56.3"/>
    <n v="5"/>
    <s v="Sunny"/>
    <n v="0"/>
    <n v="60.74"/>
    <s v="Spring"/>
    <n v="0.85409252669039148"/>
    <n v="-4.4400000000000048"/>
  </r>
  <r>
    <d v="2022-01-04T00:00:00"/>
    <s v="S004"/>
    <s v="P0012"/>
    <x v="1"/>
    <s v="North"/>
    <n v="189"/>
    <n v="153"/>
    <n v="155"/>
    <n v="145.16999999999999"/>
    <n v="94.09"/>
    <n v="5"/>
    <s v="Cloudy"/>
    <n v="0"/>
    <n v="90.8"/>
    <s v="Spring"/>
    <n v="0.80952380952380953"/>
    <n v="3.2900000000000063"/>
  </r>
  <r>
    <d v="2022-01-04T00:00:00"/>
    <s v="S004"/>
    <s v="P0013"/>
    <x v="0"/>
    <s v="West"/>
    <n v="80"/>
    <n v="68"/>
    <n v="48"/>
    <n v="81.02"/>
    <n v="24.53"/>
    <n v="20"/>
    <s v="Snowy"/>
    <n v="1"/>
    <n v="23.7"/>
    <s v="Spring"/>
    <n v="0.85"/>
    <n v="0.83000000000000185"/>
  </r>
  <r>
    <d v="2022-01-04T00:00:00"/>
    <s v="S004"/>
    <s v="P0014"/>
    <x v="3"/>
    <s v="West"/>
    <n v="314"/>
    <n v="302"/>
    <n v="42"/>
    <n v="300.24"/>
    <n v="70.33"/>
    <n v="20"/>
    <s v="Snowy"/>
    <n v="0"/>
    <n v="72.22"/>
    <s v="Autumn"/>
    <n v="0.96178343949044587"/>
    <n v="-1.8900000000000006"/>
  </r>
  <r>
    <d v="2022-01-04T00:00:00"/>
    <s v="S004"/>
    <s v="P0015"/>
    <x v="4"/>
    <s v="West"/>
    <n v="167"/>
    <n v="70"/>
    <n v="42"/>
    <n v="69.66"/>
    <n v="79.680000000000007"/>
    <n v="5"/>
    <s v="Rainy"/>
    <n v="1"/>
    <n v="77.12"/>
    <s v="Spring"/>
    <n v="0.41916167664670656"/>
    <n v="2.5600000000000023"/>
  </r>
  <r>
    <d v="2022-01-04T00:00:00"/>
    <s v="S004"/>
    <s v="P0016"/>
    <x v="0"/>
    <s v="West"/>
    <n v="129"/>
    <n v="92"/>
    <n v="73"/>
    <n v="89.92"/>
    <n v="25.69"/>
    <n v="0"/>
    <s v="Sunny"/>
    <n v="0"/>
    <n v="27.17"/>
    <s v="Autumn"/>
    <n v="0.71317829457364346"/>
    <n v="-1.4800000000000004"/>
  </r>
  <r>
    <d v="2022-01-04T00:00:00"/>
    <s v="S004"/>
    <s v="P0017"/>
    <x v="4"/>
    <s v="East"/>
    <n v="425"/>
    <n v="275"/>
    <n v="160"/>
    <n v="266.14"/>
    <n v="25.04"/>
    <n v="5"/>
    <s v="Sunny"/>
    <n v="1"/>
    <n v="29.56"/>
    <s v="Summer"/>
    <n v="0.6470588235294118"/>
    <n v="-4.5199999999999996"/>
  </r>
  <r>
    <d v="2022-01-04T00:00:00"/>
    <s v="S004"/>
    <s v="P0018"/>
    <x v="0"/>
    <s v="East"/>
    <n v="103"/>
    <n v="3"/>
    <n v="34"/>
    <n v="20.62"/>
    <n v="56.02"/>
    <n v="15"/>
    <s v="Sunny"/>
    <n v="0"/>
    <n v="59.96"/>
    <s v="Winter"/>
    <n v="2.9126213592233011E-2"/>
    <n v="-3.9399999999999977"/>
  </r>
  <r>
    <d v="2022-01-04T00:00:00"/>
    <s v="S004"/>
    <s v="P0019"/>
    <x v="0"/>
    <s v="West"/>
    <n v="471"/>
    <n v="307"/>
    <n v="143"/>
    <n v="319.56"/>
    <n v="31.39"/>
    <n v="5"/>
    <s v="Rainy"/>
    <n v="1"/>
    <n v="29.82"/>
    <s v="Winter"/>
    <n v="0.65180467091295113"/>
    <n v="1.5700000000000003"/>
  </r>
  <r>
    <d v="2022-01-04T00:00:00"/>
    <s v="S004"/>
    <s v="P0020"/>
    <x v="0"/>
    <s v="South"/>
    <n v="364"/>
    <n v="62"/>
    <n v="27"/>
    <n v="68.97"/>
    <n v="86.86"/>
    <n v="15"/>
    <s v="Snowy"/>
    <n v="0"/>
    <n v="89.19"/>
    <s v="Spring"/>
    <n v="0.17032967032967034"/>
    <n v="-2.3299999999999983"/>
  </r>
  <r>
    <d v="2022-01-04T00:00:00"/>
    <s v="S005"/>
    <s v="P0001"/>
    <x v="3"/>
    <s v="North"/>
    <n v="383"/>
    <n v="195"/>
    <n v="175"/>
    <n v="214.04"/>
    <n v="21.71"/>
    <n v="20"/>
    <s v="Rainy"/>
    <n v="0"/>
    <n v="24.11"/>
    <s v="Winter"/>
    <n v="0.50913838120104438"/>
    <n v="-2.3999999999999986"/>
  </r>
  <r>
    <d v="2022-01-04T00:00:00"/>
    <s v="S005"/>
    <s v="P0002"/>
    <x v="3"/>
    <s v="West"/>
    <n v="495"/>
    <n v="33"/>
    <n v="75"/>
    <n v="36.130000000000003"/>
    <n v="40.56"/>
    <n v="5"/>
    <s v="Rainy"/>
    <n v="1"/>
    <n v="39.9"/>
    <s v="Winter"/>
    <n v="6.6666666666666666E-2"/>
    <n v="0.66000000000000369"/>
  </r>
  <r>
    <d v="2022-01-04T00:00:00"/>
    <s v="S005"/>
    <s v="P0003"/>
    <x v="1"/>
    <s v="South"/>
    <n v="439"/>
    <n v="263"/>
    <n v="107"/>
    <n v="266.77"/>
    <n v="29.2"/>
    <n v="5"/>
    <s v="Snowy"/>
    <n v="0"/>
    <n v="30.66"/>
    <s v="Winter"/>
    <n v="0.59908883826879267"/>
    <n v="-1.4600000000000009"/>
  </r>
  <r>
    <d v="2022-01-04T00:00:00"/>
    <s v="S005"/>
    <s v="P0004"/>
    <x v="1"/>
    <s v="West"/>
    <n v="101"/>
    <n v="83"/>
    <n v="94"/>
    <n v="97.81"/>
    <n v="82.18"/>
    <n v="20"/>
    <s v="Cloudy"/>
    <n v="1"/>
    <n v="78.430000000000007"/>
    <s v="Summer"/>
    <n v="0.82178217821782173"/>
    <n v="3.75"/>
  </r>
  <r>
    <d v="2022-01-04T00:00:00"/>
    <s v="S005"/>
    <s v="P0005"/>
    <x v="1"/>
    <s v="South"/>
    <n v="292"/>
    <n v="78"/>
    <n v="25"/>
    <n v="85.65"/>
    <n v="45.85"/>
    <n v="15"/>
    <s v="Sunny"/>
    <n v="1"/>
    <n v="43.84"/>
    <s v="Autumn"/>
    <n v="0.26712328767123289"/>
    <n v="2.009999999999998"/>
  </r>
  <r>
    <d v="2022-01-04T00:00:00"/>
    <s v="S005"/>
    <s v="P0006"/>
    <x v="4"/>
    <s v="West"/>
    <n v="466"/>
    <n v="118"/>
    <n v="75"/>
    <n v="133.87"/>
    <n v="42.08"/>
    <n v="10"/>
    <s v="Sunny"/>
    <n v="0"/>
    <n v="37.49"/>
    <s v="Summer"/>
    <n v="0.25321888412017168"/>
    <n v="4.5899999999999963"/>
  </r>
  <r>
    <d v="2022-01-04T00:00:00"/>
    <s v="S005"/>
    <s v="P0007"/>
    <x v="4"/>
    <s v="North"/>
    <n v="175"/>
    <n v="147"/>
    <n v="130"/>
    <n v="141.44"/>
    <n v="51.22"/>
    <n v="10"/>
    <s v="Cloudy"/>
    <n v="1"/>
    <n v="54.22"/>
    <s v="Spring"/>
    <n v="0.84"/>
    <n v="-3"/>
  </r>
  <r>
    <d v="2022-01-04T00:00:00"/>
    <s v="S005"/>
    <s v="P0008"/>
    <x v="3"/>
    <s v="South"/>
    <n v="327"/>
    <n v="216"/>
    <n v="124"/>
    <n v="233.51"/>
    <n v="62.03"/>
    <n v="20"/>
    <s v="Cloudy"/>
    <n v="0"/>
    <n v="64.13"/>
    <s v="Summer"/>
    <n v="0.66055045871559637"/>
    <n v="-2.0999999999999943"/>
  </r>
  <r>
    <d v="2022-01-04T00:00:00"/>
    <s v="S005"/>
    <s v="P0009"/>
    <x v="0"/>
    <s v="West"/>
    <n v="194"/>
    <n v="27"/>
    <n v="43"/>
    <n v="26.91"/>
    <n v="36.53"/>
    <n v="15"/>
    <s v="Snowy"/>
    <n v="1"/>
    <n v="35.630000000000003"/>
    <s v="Spring"/>
    <n v="0.13917525773195877"/>
    <n v="0.89999999999999858"/>
  </r>
  <r>
    <d v="2022-01-04T00:00:00"/>
    <s v="S005"/>
    <s v="P0010"/>
    <x v="2"/>
    <s v="North"/>
    <n v="349"/>
    <n v="172"/>
    <n v="189"/>
    <n v="171.35"/>
    <n v="84.66"/>
    <n v="5"/>
    <s v="Rainy"/>
    <n v="1"/>
    <n v="79.81"/>
    <s v="Winter"/>
    <n v="0.49283667621776506"/>
    <n v="4.8499999999999943"/>
  </r>
  <r>
    <d v="2022-01-04T00:00:00"/>
    <s v="S005"/>
    <s v="P0011"/>
    <x v="1"/>
    <s v="West"/>
    <n v="237"/>
    <n v="78"/>
    <n v="192"/>
    <n v="77.14"/>
    <n v="39.15"/>
    <n v="0"/>
    <s v="Snowy"/>
    <n v="1"/>
    <n v="35.15"/>
    <s v="Autumn"/>
    <n v="0.32911392405063289"/>
    <n v="4"/>
  </r>
  <r>
    <d v="2022-01-04T00:00:00"/>
    <s v="S005"/>
    <s v="P0012"/>
    <x v="4"/>
    <s v="South"/>
    <n v="220"/>
    <n v="196"/>
    <n v="82"/>
    <n v="187.61"/>
    <n v="45.65"/>
    <n v="15"/>
    <s v="Cloudy"/>
    <n v="1"/>
    <n v="48.04"/>
    <s v="Summer"/>
    <n v="0.89090909090909087"/>
    <n v="-2.3900000000000006"/>
  </r>
  <r>
    <d v="2022-01-04T00:00:00"/>
    <s v="S005"/>
    <s v="P0013"/>
    <x v="0"/>
    <s v="North"/>
    <n v="86"/>
    <n v="75"/>
    <n v="153"/>
    <n v="72.27"/>
    <n v="40.270000000000003"/>
    <n v="15"/>
    <s v="Sunny"/>
    <n v="1"/>
    <n v="41.66"/>
    <s v="Summer"/>
    <n v="0.87209302325581395"/>
    <n v="-1.3899999999999935"/>
  </r>
  <r>
    <d v="2022-01-04T00:00:00"/>
    <s v="S005"/>
    <s v="P0014"/>
    <x v="1"/>
    <s v="West"/>
    <n v="334"/>
    <n v="11"/>
    <n v="179"/>
    <n v="8.4499999999999993"/>
    <n v="82.99"/>
    <n v="15"/>
    <s v="Snowy"/>
    <n v="1"/>
    <n v="87.85"/>
    <s v="Spring"/>
    <n v="3.2934131736526949E-2"/>
    <n v="-4.8599999999999994"/>
  </r>
  <r>
    <d v="2022-01-04T00:00:00"/>
    <s v="S005"/>
    <s v="P0015"/>
    <x v="4"/>
    <s v="West"/>
    <n v="186"/>
    <n v="144"/>
    <n v="197"/>
    <n v="150.43"/>
    <n v="60.15"/>
    <n v="20"/>
    <s v="Cloudy"/>
    <n v="1"/>
    <n v="61.9"/>
    <s v="Summer"/>
    <n v="0.77419354838709675"/>
    <n v="-1.75"/>
  </r>
  <r>
    <d v="2022-01-04T00:00:00"/>
    <s v="S005"/>
    <s v="P0016"/>
    <x v="2"/>
    <s v="North"/>
    <n v="288"/>
    <n v="200"/>
    <n v="180"/>
    <n v="216.05"/>
    <n v="15.19"/>
    <n v="10"/>
    <s v="Sunny"/>
    <n v="0"/>
    <n v="12.13"/>
    <s v="Winter"/>
    <n v="0.69444444444444442"/>
    <n v="3.0599999999999987"/>
  </r>
  <r>
    <d v="2022-01-04T00:00:00"/>
    <s v="S005"/>
    <s v="P0017"/>
    <x v="1"/>
    <s v="North"/>
    <n v="460"/>
    <n v="256"/>
    <n v="107"/>
    <n v="252.35"/>
    <n v="37.46"/>
    <n v="20"/>
    <s v="Cloudy"/>
    <n v="1"/>
    <n v="33.090000000000003"/>
    <s v="Autumn"/>
    <n v="0.55652173913043479"/>
    <n v="4.3699999999999974"/>
  </r>
  <r>
    <d v="2022-01-04T00:00:00"/>
    <s v="S005"/>
    <s v="P0018"/>
    <x v="0"/>
    <s v="East"/>
    <n v="482"/>
    <n v="118"/>
    <n v="168"/>
    <n v="137.69999999999999"/>
    <n v="34.44"/>
    <n v="10"/>
    <s v="Cloudy"/>
    <n v="0"/>
    <n v="33.51"/>
    <s v="Spring"/>
    <n v="0.24481327800829875"/>
    <n v="0.92999999999999972"/>
  </r>
  <r>
    <d v="2022-01-04T00:00:00"/>
    <s v="S005"/>
    <s v="P0019"/>
    <x v="1"/>
    <s v="North"/>
    <n v="278"/>
    <n v="244"/>
    <n v="24"/>
    <n v="259.18"/>
    <n v="84.99"/>
    <n v="20"/>
    <s v="Rainy"/>
    <n v="0"/>
    <n v="85.21"/>
    <s v="Autumn"/>
    <n v="0.87769784172661869"/>
    <n v="-0.21999999999999886"/>
  </r>
  <r>
    <d v="2022-01-04T00:00:00"/>
    <s v="S005"/>
    <s v="P0020"/>
    <x v="3"/>
    <s v="West"/>
    <n v="128"/>
    <n v="54"/>
    <n v="139"/>
    <n v="62.09"/>
    <n v="81.63"/>
    <n v="10"/>
    <s v="Rainy"/>
    <n v="0"/>
    <n v="78.319999999999993"/>
    <s v="Autumn"/>
    <n v="0.421875"/>
    <n v="3.3100000000000023"/>
  </r>
  <r>
    <d v="2022-01-05T00:00:00"/>
    <s v="S001"/>
    <s v="P0001"/>
    <x v="0"/>
    <s v="South"/>
    <n v="238"/>
    <n v="147"/>
    <n v="37"/>
    <n v="150.27000000000001"/>
    <n v="28.46"/>
    <n v="20"/>
    <s v="Sunny"/>
    <n v="1"/>
    <n v="29.4"/>
    <s v="Winter"/>
    <n v="0.61764705882352944"/>
    <n v="-0.93999999999999773"/>
  </r>
  <r>
    <d v="2022-01-05T00:00:00"/>
    <s v="S001"/>
    <s v="P0002"/>
    <x v="1"/>
    <s v="West"/>
    <n v="270"/>
    <n v="220"/>
    <n v="165"/>
    <n v="237"/>
    <n v="79.540000000000006"/>
    <n v="10"/>
    <s v="Rainy"/>
    <n v="0"/>
    <n v="80.22"/>
    <s v="Spring"/>
    <n v="0.81481481481481477"/>
    <n v="-0.67999999999999261"/>
  </r>
  <r>
    <d v="2022-01-05T00:00:00"/>
    <s v="S001"/>
    <s v="P0003"/>
    <x v="1"/>
    <s v="South"/>
    <n v="216"/>
    <n v="97"/>
    <n v="198"/>
    <n v="101.54"/>
    <n v="80.569999999999993"/>
    <n v="5"/>
    <s v="Rainy"/>
    <n v="1"/>
    <n v="78.89"/>
    <s v="Summer"/>
    <n v="0.44907407407407407"/>
    <n v="1.6799999999999926"/>
  </r>
  <r>
    <d v="2022-01-05T00:00:00"/>
    <s v="S001"/>
    <s v="P0004"/>
    <x v="2"/>
    <s v="North"/>
    <n v="172"/>
    <n v="29"/>
    <n v="73"/>
    <n v="40.03"/>
    <n v="93.53"/>
    <n v="20"/>
    <s v="Snowy"/>
    <n v="1"/>
    <n v="93.55"/>
    <s v="Autumn"/>
    <n v="0.16860465116279069"/>
    <n v="-1.9999999999996021E-2"/>
  </r>
  <r>
    <d v="2022-01-05T00:00:00"/>
    <s v="S001"/>
    <s v="P0005"/>
    <x v="3"/>
    <s v="West"/>
    <n v="405"/>
    <n v="192"/>
    <n v="76"/>
    <n v="193.38"/>
    <n v="46.13"/>
    <n v="0"/>
    <s v="Cloudy"/>
    <n v="0"/>
    <n v="42.56"/>
    <s v="Spring"/>
    <n v="0.47407407407407409"/>
    <n v="3.5700000000000003"/>
  </r>
  <r>
    <d v="2022-01-05T00:00:00"/>
    <s v="S001"/>
    <s v="P0006"/>
    <x v="1"/>
    <s v="North"/>
    <n v="338"/>
    <n v="158"/>
    <n v="139"/>
    <n v="168.84"/>
    <n v="60.2"/>
    <n v="0"/>
    <s v="Rainy"/>
    <n v="1"/>
    <n v="57.13"/>
    <s v="Winter"/>
    <n v="0.46745562130177515"/>
    <n v="3.0700000000000003"/>
  </r>
  <r>
    <d v="2022-01-05T00:00:00"/>
    <s v="S001"/>
    <s v="P0007"/>
    <x v="0"/>
    <s v="West"/>
    <n v="409"/>
    <n v="8"/>
    <n v="143"/>
    <n v="17.440000000000001"/>
    <n v="53.65"/>
    <n v="5"/>
    <s v="Cloudy"/>
    <n v="0"/>
    <n v="53.31"/>
    <s v="Autumn"/>
    <n v="1.9559902200488997E-2"/>
    <n v="0.33999999999999631"/>
  </r>
  <r>
    <d v="2022-01-05T00:00:00"/>
    <s v="S001"/>
    <s v="P0008"/>
    <x v="2"/>
    <s v="West"/>
    <n v="102"/>
    <n v="42"/>
    <n v="23"/>
    <n v="35.11"/>
    <n v="59.2"/>
    <n v="5"/>
    <s v="Snowy"/>
    <n v="0"/>
    <n v="58.19"/>
    <s v="Winter"/>
    <n v="0.41176470588235292"/>
    <n v="1.0100000000000051"/>
  </r>
  <r>
    <d v="2022-01-05T00:00:00"/>
    <s v="S001"/>
    <s v="P0009"/>
    <x v="3"/>
    <s v="East"/>
    <n v="433"/>
    <n v="5"/>
    <n v="185"/>
    <n v="6.6"/>
    <n v="98.03"/>
    <n v="5"/>
    <s v="Rainy"/>
    <n v="0"/>
    <n v="93.57"/>
    <s v="Spring"/>
    <n v="1.1547344110854504E-2"/>
    <n v="4.460000000000008"/>
  </r>
  <r>
    <d v="2022-01-05T00:00:00"/>
    <s v="S001"/>
    <s v="P0010"/>
    <x v="3"/>
    <s v="East"/>
    <n v="288"/>
    <n v="93"/>
    <n v="169"/>
    <n v="85.66"/>
    <n v="32.6"/>
    <n v="20"/>
    <s v="Rainy"/>
    <n v="0"/>
    <n v="32.17"/>
    <s v="Spring"/>
    <n v="0.32291666666666669"/>
    <n v="0.42999999999999972"/>
  </r>
  <r>
    <d v="2022-01-05T00:00:00"/>
    <s v="S001"/>
    <s v="P0011"/>
    <x v="0"/>
    <s v="North"/>
    <n v="485"/>
    <n v="44"/>
    <n v="191"/>
    <n v="54.08"/>
    <n v="53.31"/>
    <n v="5"/>
    <s v="Sunny"/>
    <n v="1"/>
    <n v="52.89"/>
    <s v="Spring"/>
    <n v="9.0721649484536079E-2"/>
    <n v="0.42000000000000171"/>
  </r>
  <r>
    <d v="2022-01-05T00:00:00"/>
    <s v="S001"/>
    <s v="P0012"/>
    <x v="2"/>
    <s v="West"/>
    <n v="414"/>
    <n v="78"/>
    <n v="91"/>
    <n v="76.67"/>
    <n v="93.96"/>
    <n v="20"/>
    <s v="Sunny"/>
    <n v="0"/>
    <n v="98.29"/>
    <s v="Summer"/>
    <n v="0.18840579710144928"/>
    <n v="-4.3300000000000125"/>
  </r>
  <r>
    <d v="2022-01-05T00:00:00"/>
    <s v="S001"/>
    <s v="P0013"/>
    <x v="1"/>
    <s v="East"/>
    <n v="370"/>
    <n v="57"/>
    <n v="24"/>
    <n v="55.73"/>
    <n v="83.3"/>
    <n v="0"/>
    <s v="Snowy"/>
    <n v="0"/>
    <n v="82.46"/>
    <s v="Summer"/>
    <n v="0.15405405405405406"/>
    <n v="0.84000000000000341"/>
  </r>
  <r>
    <d v="2022-01-05T00:00:00"/>
    <s v="S001"/>
    <s v="P0014"/>
    <x v="1"/>
    <s v="North"/>
    <n v="233"/>
    <n v="161"/>
    <n v="171"/>
    <n v="155.79"/>
    <n v="12.66"/>
    <n v="15"/>
    <s v="Rainy"/>
    <n v="1"/>
    <n v="12.38"/>
    <s v="Autumn"/>
    <n v="0.69098712446351929"/>
    <n v="0.27999999999999936"/>
  </r>
  <r>
    <d v="2022-01-05T00:00:00"/>
    <s v="S001"/>
    <s v="P0015"/>
    <x v="1"/>
    <s v="West"/>
    <n v="272"/>
    <n v="172"/>
    <n v="139"/>
    <n v="183.33"/>
    <n v="55.77"/>
    <n v="20"/>
    <s v="Rainy"/>
    <n v="1"/>
    <n v="59.56"/>
    <s v="Winter"/>
    <n v="0.63235294117647056"/>
    <n v="-3.7899999999999991"/>
  </r>
  <r>
    <d v="2022-01-05T00:00:00"/>
    <s v="S001"/>
    <s v="P0016"/>
    <x v="0"/>
    <s v="East"/>
    <n v="189"/>
    <n v="132"/>
    <n v="196"/>
    <n v="143.24"/>
    <n v="30.15"/>
    <n v="15"/>
    <s v="Rainy"/>
    <n v="0"/>
    <n v="26.17"/>
    <s v="Autumn"/>
    <n v="0.69841269841269837"/>
    <n v="3.9799999999999969"/>
  </r>
  <r>
    <d v="2022-01-05T00:00:00"/>
    <s v="S001"/>
    <s v="P0017"/>
    <x v="2"/>
    <s v="East"/>
    <n v="120"/>
    <n v="46"/>
    <n v="156"/>
    <n v="53.06"/>
    <n v="63.75"/>
    <n v="5"/>
    <s v="Snowy"/>
    <n v="0"/>
    <n v="60.02"/>
    <s v="Winter"/>
    <n v="0.38333333333333336"/>
    <n v="3.7299999999999969"/>
  </r>
  <r>
    <d v="2022-01-05T00:00:00"/>
    <s v="S001"/>
    <s v="P0018"/>
    <x v="0"/>
    <s v="South"/>
    <n v="248"/>
    <n v="17"/>
    <n v="200"/>
    <n v="17.8"/>
    <n v="97.51"/>
    <n v="10"/>
    <s v="Snowy"/>
    <n v="0"/>
    <n v="97.99"/>
    <s v="Spring"/>
    <n v="6.8548387096774188E-2"/>
    <n v="-0.47999999999998977"/>
  </r>
  <r>
    <d v="2022-01-05T00:00:00"/>
    <s v="S001"/>
    <s v="P0019"/>
    <x v="2"/>
    <s v="West"/>
    <n v="492"/>
    <n v="38"/>
    <n v="167"/>
    <n v="47.82"/>
    <n v="49.8"/>
    <n v="5"/>
    <s v="Rainy"/>
    <n v="1"/>
    <n v="47.76"/>
    <s v="Autumn"/>
    <n v="7.7235772357723581E-2"/>
    <n v="2.0399999999999991"/>
  </r>
  <r>
    <d v="2022-01-05T00:00:00"/>
    <s v="S001"/>
    <s v="P0020"/>
    <x v="1"/>
    <s v="West"/>
    <n v="355"/>
    <n v="11"/>
    <n v="26"/>
    <n v="4.5"/>
    <n v="33.299999999999997"/>
    <n v="10"/>
    <s v="Rainy"/>
    <n v="0"/>
    <n v="37.71"/>
    <s v="Winter"/>
    <n v="3.0985915492957747E-2"/>
    <n v="-4.4100000000000037"/>
  </r>
  <r>
    <d v="2022-01-05T00:00:00"/>
    <s v="S002"/>
    <s v="P0001"/>
    <x v="3"/>
    <s v="East"/>
    <n v="250"/>
    <n v="161"/>
    <n v="70"/>
    <n v="171.45"/>
    <n v="56.24"/>
    <n v="15"/>
    <s v="Snowy"/>
    <n v="1"/>
    <n v="60.32"/>
    <s v="Spring"/>
    <n v="0.64400000000000002"/>
    <n v="-4.0799999999999983"/>
  </r>
  <r>
    <d v="2022-01-05T00:00:00"/>
    <s v="S002"/>
    <s v="P0002"/>
    <x v="2"/>
    <s v="North"/>
    <n v="182"/>
    <n v="101"/>
    <n v="81"/>
    <n v="92.92"/>
    <n v="43.43"/>
    <n v="20"/>
    <s v="Sunny"/>
    <n v="1"/>
    <n v="39.61"/>
    <s v="Autumn"/>
    <n v="0.55494505494505497"/>
    <n v="3.8200000000000003"/>
  </r>
  <r>
    <d v="2022-01-05T00:00:00"/>
    <s v="S002"/>
    <s v="P0003"/>
    <x v="2"/>
    <s v="North"/>
    <n v="274"/>
    <n v="263"/>
    <n v="91"/>
    <n v="257.45999999999998"/>
    <n v="30.78"/>
    <n v="10"/>
    <s v="Snowy"/>
    <n v="0"/>
    <n v="34.67"/>
    <s v="Summer"/>
    <n v="0.95985401459854014"/>
    <n v="-3.8900000000000006"/>
  </r>
  <r>
    <d v="2022-01-05T00:00:00"/>
    <s v="S002"/>
    <s v="P0004"/>
    <x v="3"/>
    <s v="North"/>
    <n v="148"/>
    <n v="32"/>
    <n v="142"/>
    <n v="25.88"/>
    <n v="82.85"/>
    <n v="5"/>
    <s v="Sunny"/>
    <n v="0"/>
    <n v="78.98"/>
    <s v="Autumn"/>
    <n v="0.21621621621621623"/>
    <n v="3.8699999999999903"/>
  </r>
  <r>
    <d v="2022-01-05T00:00:00"/>
    <s v="S002"/>
    <s v="P0005"/>
    <x v="4"/>
    <s v="West"/>
    <n v="241"/>
    <n v="209"/>
    <n v="36"/>
    <n v="212.58"/>
    <n v="87.11"/>
    <n v="0"/>
    <s v="Cloudy"/>
    <n v="1"/>
    <n v="83.23"/>
    <s v="Spring"/>
    <n v="0.86721991701244816"/>
    <n v="3.8799999999999955"/>
  </r>
  <r>
    <d v="2022-01-05T00:00:00"/>
    <s v="S002"/>
    <s v="P0006"/>
    <x v="0"/>
    <s v="West"/>
    <n v="131"/>
    <n v="24"/>
    <n v="176"/>
    <n v="22.17"/>
    <n v="56.68"/>
    <n v="5"/>
    <s v="Cloudy"/>
    <n v="0"/>
    <n v="60.18"/>
    <s v="Spring"/>
    <n v="0.18320610687022901"/>
    <n v="-3.5"/>
  </r>
  <r>
    <d v="2022-01-05T00:00:00"/>
    <s v="S002"/>
    <s v="P0007"/>
    <x v="0"/>
    <s v="South"/>
    <n v="80"/>
    <n v="20"/>
    <n v="176"/>
    <n v="34.049999999999997"/>
    <n v="80.010000000000005"/>
    <n v="5"/>
    <s v="Rainy"/>
    <n v="1"/>
    <n v="80.650000000000006"/>
    <s v="Winter"/>
    <n v="0.25"/>
    <n v="-0.64000000000000057"/>
  </r>
  <r>
    <d v="2022-01-05T00:00:00"/>
    <s v="S002"/>
    <s v="P0008"/>
    <x v="4"/>
    <s v="East"/>
    <n v="483"/>
    <n v="148"/>
    <n v="111"/>
    <n v="145.1"/>
    <n v="41.24"/>
    <n v="0"/>
    <s v="Cloudy"/>
    <n v="1"/>
    <n v="44.9"/>
    <s v="Autumn"/>
    <n v="0.30641821946169773"/>
    <n v="-3.6599999999999966"/>
  </r>
  <r>
    <d v="2022-01-05T00:00:00"/>
    <s v="S002"/>
    <s v="P0009"/>
    <x v="1"/>
    <s v="West"/>
    <n v="228"/>
    <n v="100"/>
    <n v="183"/>
    <n v="109.92"/>
    <n v="96.96"/>
    <n v="5"/>
    <s v="Cloudy"/>
    <n v="1"/>
    <n v="98.62"/>
    <s v="Spring"/>
    <n v="0.43859649122807015"/>
    <n v="-1.6600000000000108"/>
  </r>
  <r>
    <d v="2022-01-05T00:00:00"/>
    <s v="S002"/>
    <s v="P0010"/>
    <x v="1"/>
    <s v="East"/>
    <n v="202"/>
    <n v="129"/>
    <n v="55"/>
    <n v="119.12"/>
    <n v="87.69"/>
    <n v="20"/>
    <s v="Snowy"/>
    <n v="0"/>
    <n v="83.87"/>
    <s v="Autumn"/>
    <n v="0.63861386138613863"/>
    <n v="3.8199999999999932"/>
  </r>
  <r>
    <d v="2022-01-05T00:00:00"/>
    <s v="S002"/>
    <s v="P0011"/>
    <x v="3"/>
    <s v="East"/>
    <n v="440"/>
    <n v="257"/>
    <n v="41"/>
    <n v="266.89"/>
    <n v="74.45"/>
    <n v="5"/>
    <s v="Cloudy"/>
    <n v="1"/>
    <n v="76.989999999999995"/>
    <s v="Spring"/>
    <n v="0.58409090909090911"/>
    <n v="-2.539999999999992"/>
  </r>
  <r>
    <d v="2022-01-05T00:00:00"/>
    <s v="S002"/>
    <s v="P0012"/>
    <x v="0"/>
    <s v="West"/>
    <n v="264"/>
    <n v="262"/>
    <n v="29"/>
    <n v="269.58999999999997"/>
    <n v="53.28"/>
    <n v="5"/>
    <s v="Rainy"/>
    <n v="0"/>
    <n v="56.77"/>
    <s v="Summer"/>
    <n v="0.99242424242424243"/>
    <n v="-3.490000000000002"/>
  </r>
  <r>
    <d v="2022-01-05T00:00:00"/>
    <s v="S002"/>
    <s v="P0013"/>
    <x v="1"/>
    <s v="East"/>
    <n v="296"/>
    <n v="200"/>
    <n v="20"/>
    <n v="214.64"/>
    <n v="25.38"/>
    <n v="15"/>
    <s v="Cloudy"/>
    <n v="1"/>
    <n v="25.99"/>
    <s v="Spring"/>
    <n v="0.67567567567567566"/>
    <n v="-0.60999999999999943"/>
  </r>
  <r>
    <d v="2022-01-05T00:00:00"/>
    <s v="S002"/>
    <s v="P0014"/>
    <x v="0"/>
    <s v="West"/>
    <n v="201"/>
    <n v="56"/>
    <n v="187"/>
    <n v="69.260000000000005"/>
    <n v="23.84"/>
    <n v="10"/>
    <s v="Sunny"/>
    <n v="1"/>
    <n v="19.73"/>
    <s v="Spring"/>
    <n v="0.27860696517412936"/>
    <n v="4.1099999999999994"/>
  </r>
  <r>
    <d v="2022-01-05T00:00:00"/>
    <s v="S002"/>
    <s v="P0015"/>
    <x v="4"/>
    <s v="South"/>
    <n v="70"/>
    <n v="24"/>
    <n v="28"/>
    <n v="17.010000000000002"/>
    <n v="52.21"/>
    <n v="20"/>
    <s v="Cloudy"/>
    <n v="0"/>
    <n v="56.17"/>
    <s v="Summer"/>
    <n v="0.34285714285714286"/>
    <n v="-3.9600000000000009"/>
  </r>
  <r>
    <d v="2022-01-05T00:00:00"/>
    <s v="S002"/>
    <s v="P0016"/>
    <x v="3"/>
    <s v="West"/>
    <n v="176"/>
    <n v="105"/>
    <n v="174"/>
    <n v="106.4"/>
    <n v="79.34"/>
    <n v="20"/>
    <s v="Cloudy"/>
    <n v="0"/>
    <n v="79.16"/>
    <s v="Spring"/>
    <n v="0.59659090909090906"/>
    <n v="0.18000000000000682"/>
  </r>
  <r>
    <d v="2022-01-05T00:00:00"/>
    <s v="S002"/>
    <s v="P0017"/>
    <x v="0"/>
    <s v="East"/>
    <n v="399"/>
    <n v="294"/>
    <n v="100"/>
    <n v="302.77"/>
    <n v="13.13"/>
    <n v="15"/>
    <s v="Snowy"/>
    <n v="0"/>
    <n v="9.4600000000000009"/>
    <s v="Summer"/>
    <n v="0.73684210526315785"/>
    <n v="3.67"/>
  </r>
  <r>
    <d v="2022-01-05T00:00:00"/>
    <s v="S002"/>
    <s v="P0018"/>
    <x v="0"/>
    <s v="East"/>
    <n v="294"/>
    <n v="142"/>
    <n v="63"/>
    <n v="154.25"/>
    <n v="23.28"/>
    <n v="15"/>
    <s v="Cloudy"/>
    <n v="1"/>
    <n v="23.86"/>
    <s v="Autumn"/>
    <n v="0.48299319727891155"/>
    <n v="-0.57999999999999829"/>
  </r>
  <r>
    <d v="2022-01-05T00:00:00"/>
    <s v="S002"/>
    <s v="P0019"/>
    <x v="2"/>
    <s v="South"/>
    <n v="222"/>
    <n v="55"/>
    <n v="27"/>
    <n v="68.88"/>
    <n v="67.3"/>
    <n v="10"/>
    <s v="Sunny"/>
    <n v="1"/>
    <n v="66.27"/>
    <s v="Spring"/>
    <n v="0.24774774774774774"/>
    <n v="1.0300000000000011"/>
  </r>
  <r>
    <d v="2022-01-05T00:00:00"/>
    <s v="S002"/>
    <s v="P0020"/>
    <x v="2"/>
    <s v="South"/>
    <n v="123"/>
    <n v="24"/>
    <n v="110"/>
    <n v="27.69"/>
    <n v="17.350000000000001"/>
    <n v="20"/>
    <s v="Cloudy"/>
    <n v="1"/>
    <n v="13.22"/>
    <s v="Autumn"/>
    <n v="0.1951219512195122"/>
    <n v="4.1300000000000008"/>
  </r>
  <r>
    <d v="2022-01-05T00:00:00"/>
    <s v="S003"/>
    <s v="P0001"/>
    <x v="2"/>
    <s v="West"/>
    <n v="388"/>
    <n v="53"/>
    <n v="55"/>
    <n v="47.35"/>
    <n v="93.06"/>
    <n v="0"/>
    <s v="Snowy"/>
    <n v="1"/>
    <n v="88.15"/>
    <s v="Summer"/>
    <n v="0.13659793814432988"/>
    <n v="4.9099999999999966"/>
  </r>
  <r>
    <d v="2022-01-05T00:00:00"/>
    <s v="S003"/>
    <s v="P0002"/>
    <x v="0"/>
    <s v="South"/>
    <n v="191"/>
    <n v="189"/>
    <n v="177"/>
    <n v="187.88"/>
    <n v="84.04"/>
    <n v="20"/>
    <s v="Cloudy"/>
    <n v="0"/>
    <n v="87.67"/>
    <s v="Winter"/>
    <n v="0.98952879581151831"/>
    <n v="-3.6299999999999955"/>
  </r>
  <r>
    <d v="2022-01-05T00:00:00"/>
    <s v="S003"/>
    <s v="P0003"/>
    <x v="3"/>
    <s v="East"/>
    <n v="370"/>
    <n v="146"/>
    <n v="68"/>
    <n v="155.15"/>
    <n v="25.75"/>
    <n v="0"/>
    <s v="Rainy"/>
    <n v="1"/>
    <n v="30.21"/>
    <s v="Summer"/>
    <n v="0.39459459459459462"/>
    <n v="-4.4600000000000009"/>
  </r>
  <r>
    <d v="2022-01-05T00:00:00"/>
    <s v="S003"/>
    <s v="P0004"/>
    <x v="3"/>
    <s v="East"/>
    <n v="463"/>
    <n v="186"/>
    <n v="77"/>
    <n v="188.51"/>
    <n v="76.319999999999993"/>
    <n v="20"/>
    <s v="Cloudy"/>
    <n v="0"/>
    <n v="79.040000000000006"/>
    <s v="Summer"/>
    <n v="0.40172786177105829"/>
    <n v="-2.7200000000000131"/>
  </r>
  <r>
    <d v="2022-01-05T00:00:00"/>
    <s v="S003"/>
    <s v="P0005"/>
    <x v="1"/>
    <s v="West"/>
    <n v="140"/>
    <n v="77"/>
    <n v="149"/>
    <n v="90.49"/>
    <n v="49.52"/>
    <n v="20"/>
    <s v="Snowy"/>
    <n v="1"/>
    <n v="54.31"/>
    <s v="Spring"/>
    <n v="0.55000000000000004"/>
    <n v="-4.7899999999999991"/>
  </r>
  <r>
    <d v="2022-01-05T00:00:00"/>
    <s v="S003"/>
    <s v="P0006"/>
    <x v="3"/>
    <s v="East"/>
    <n v="314"/>
    <n v="225"/>
    <n v="135"/>
    <n v="220.06"/>
    <n v="93.81"/>
    <n v="0"/>
    <s v="Snowy"/>
    <n v="0"/>
    <n v="89.3"/>
    <s v="Autumn"/>
    <n v="0.71656050955414008"/>
    <n v="4.5100000000000051"/>
  </r>
  <r>
    <d v="2022-01-05T00:00:00"/>
    <s v="S003"/>
    <s v="P0007"/>
    <x v="4"/>
    <s v="East"/>
    <n v="79"/>
    <n v="66"/>
    <n v="69"/>
    <n v="74.14"/>
    <n v="76.7"/>
    <n v="10"/>
    <s v="Rainy"/>
    <n v="1"/>
    <n v="73.33"/>
    <s v="Summer"/>
    <n v="0.83544303797468356"/>
    <n v="3.3700000000000045"/>
  </r>
  <r>
    <d v="2022-01-05T00:00:00"/>
    <s v="S003"/>
    <s v="P0008"/>
    <x v="2"/>
    <s v="South"/>
    <n v="411"/>
    <n v="35"/>
    <n v="83"/>
    <n v="35.46"/>
    <n v="24.28"/>
    <n v="15"/>
    <s v="Snowy"/>
    <n v="1"/>
    <n v="21.81"/>
    <s v="Winter"/>
    <n v="8.5158150851581502E-2"/>
    <n v="2.4700000000000024"/>
  </r>
  <r>
    <d v="2022-01-05T00:00:00"/>
    <s v="S003"/>
    <s v="P0009"/>
    <x v="2"/>
    <s v="West"/>
    <n v="117"/>
    <n v="1"/>
    <n v="64"/>
    <n v="7.16"/>
    <n v="13.87"/>
    <n v="15"/>
    <s v="Rainy"/>
    <n v="1"/>
    <n v="14.32"/>
    <s v="Spring"/>
    <n v="8.5470085470085479E-3"/>
    <n v="-0.45000000000000107"/>
  </r>
  <r>
    <d v="2022-01-05T00:00:00"/>
    <s v="S003"/>
    <s v="P0010"/>
    <x v="4"/>
    <s v="West"/>
    <n v="109"/>
    <n v="95"/>
    <n v="73"/>
    <n v="90.43"/>
    <n v="14.93"/>
    <n v="10"/>
    <s v="Sunny"/>
    <n v="0"/>
    <n v="17.34"/>
    <s v="Winter"/>
    <n v="0.87155963302752293"/>
    <n v="-2.41"/>
  </r>
  <r>
    <d v="2022-01-05T00:00:00"/>
    <s v="S003"/>
    <s v="P0011"/>
    <x v="2"/>
    <s v="East"/>
    <n v="438"/>
    <n v="255"/>
    <n v="85"/>
    <n v="269.91000000000003"/>
    <n v="22.22"/>
    <n v="10"/>
    <s v="Snowy"/>
    <n v="1"/>
    <n v="25.17"/>
    <s v="Spring"/>
    <n v="0.5821917808219178"/>
    <n v="-2.9500000000000028"/>
  </r>
  <r>
    <d v="2022-01-05T00:00:00"/>
    <s v="S003"/>
    <s v="P0012"/>
    <x v="1"/>
    <s v="East"/>
    <n v="480"/>
    <n v="132"/>
    <n v="174"/>
    <n v="122.08"/>
    <n v="57.69"/>
    <n v="5"/>
    <s v="Cloudy"/>
    <n v="0"/>
    <n v="56.53"/>
    <s v="Winter"/>
    <n v="0.27500000000000002"/>
    <n v="1.1599999999999966"/>
  </r>
  <r>
    <d v="2022-01-05T00:00:00"/>
    <s v="S003"/>
    <s v="P0013"/>
    <x v="3"/>
    <s v="East"/>
    <n v="284"/>
    <n v="234"/>
    <n v="168"/>
    <n v="232.6"/>
    <n v="80.36"/>
    <n v="15"/>
    <s v="Rainy"/>
    <n v="1"/>
    <n v="78.62"/>
    <s v="Winter"/>
    <n v="0.823943661971831"/>
    <n v="1.7399999999999949"/>
  </r>
  <r>
    <d v="2022-01-05T00:00:00"/>
    <s v="S003"/>
    <s v="P0014"/>
    <x v="3"/>
    <s v="South"/>
    <n v="444"/>
    <n v="42"/>
    <n v="86"/>
    <n v="44.15"/>
    <n v="40.6"/>
    <n v="10"/>
    <s v="Rainy"/>
    <n v="1"/>
    <n v="37.42"/>
    <s v="Winter"/>
    <n v="9.45945945945946E-2"/>
    <n v="3.1799999999999997"/>
  </r>
  <r>
    <d v="2022-01-05T00:00:00"/>
    <s v="S003"/>
    <s v="P0015"/>
    <x v="3"/>
    <s v="South"/>
    <n v="278"/>
    <n v="25"/>
    <n v="81"/>
    <n v="28.28"/>
    <n v="86.8"/>
    <n v="0"/>
    <s v="Snowy"/>
    <n v="0"/>
    <n v="90.41"/>
    <s v="Autumn"/>
    <n v="8.9928057553956831E-2"/>
    <n v="-3.6099999999999994"/>
  </r>
  <r>
    <d v="2022-01-05T00:00:00"/>
    <s v="S003"/>
    <s v="P0016"/>
    <x v="1"/>
    <s v="North"/>
    <n v="202"/>
    <n v="30"/>
    <n v="195"/>
    <n v="29.93"/>
    <n v="30.33"/>
    <n v="15"/>
    <s v="Snowy"/>
    <n v="1"/>
    <n v="27.66"/>
    <s v="Autumn"/>
    <n v="0.14851485148514851"/>
    <n v="2.6699999999999982"/>
  </r>
  <r>
    <d v="2022-01-05T00:00:00"/>
    <s v="S003"/>
    <s v="P0017"/>
    <x v="1"/>
    <s v="East"/>
    <n v="192"/>
    <n v="28"/>
    <n v="175"/>
    <n v="18.54"/>
    <n v="29.03"/>
    <n v="0"/>
    <s v="Snowy"/>
    <n v="0"/>
    <n v="25.22"/>
    <s v="Summer"/>
    <n v="0.14583333333333334"/>
    <n v="3.8100000000000023"/>
  </r>
  <r>
    <d v="2022-01-05T00:00:00"/>
    <s v="S003"/>
    <s v="P0018"/>
    <x v="0"/>
    <s v="South"/>
    <n v="168"/>
    <n v="38"/>
    <n v="74"/>
    <n v="41.71"/>
    <n v="97.97"/>
    <n v="15"/>
    <s v="Cloudy"/>
    <n v="0"/>
    <n v="102.22"/>
    <s v="Spring"/>
    <n v="0.22619047619047619"/>
    <n v="-4.25"/>
  </r>
  <r>
    <d v="2022-01-05T00:00:00"/>
    <s v="S003"/>
    <s v="P0019"/>
    <x v="1"/>
    <s v="West"/>
    <n v="308"/>
    <n v="149"/>
    <n v="35"/>
    <n v="167.46"/>
    <n v="31.18"/>
    <n v="0"/>
    <s v="Sunny"/>
    <n v="1"/>
    <n v="34.200000000000003"/>
    <s v="Winter"/>
    <n v="0.48376623376623379"/>
    <n v="-3.0200000000000031"/>
  </r>
  <r>
    <d v="2022-01-05T00:00:00"/>
    <s v="S003"/>
    <s v="P0020"/>
    <x v="0"/>
    <s v="North"/>
    <n v="286"/>
    <n v="192"/>
    <n v="70"/>
    <n v="205.67"/>
    <n v="65.34"/>
    <n v="10"/>
    <s v="Rainy"/>
    <n v="0"/>
    <n v="63.05"/>
    <s v="Autumn"/>
    <n v="0.67132867132867136"/>
    <n v="2.2900000000000063"/>
  </r>
  <r>
    <d v="2022-01-05T00:00:00"/>
    <s v="S004"/>
    <s v="P0001"/>
    <x v="1"/>
    <s v="North"/>
    <n v="201"/>
    <n v="198"/>
    <n v="103"/>
    <n v="212.56"/>
    <n v="57.58"/>
    <n v="10"/>
    <s v="Cloudy"/>
    <n v="0"/>
    <n v="58.98"/>
    <s v="Summer"/>
    <n v="0.9850746268656716"/>
    <n v="-1.3999999999999986"/>
  </r>
  <r>
    <d v="2022-01-05T00:00:00"/>
    <s v="S004"/>
    <s v="P0002"/>
    <x v="2"/>
    <s v="North"/>
    <n v="135"/>
    <n v="83"/>
    <n v="49"/>
    <n v="88.88"/>
    <n v="54.02"/>
    <n v="20"/>
    <s v="Rainy"/>
    <n v="0"/>
    <n v="58.22"/>
    <s v="Winter"/>
    <n v="0.61481481481481481"/>
    <n v="-4.1999999999999957"/>
  </r>
  <r>
    <d v="2022-01-05T00:00:00"/>
    <s v="S004"/>
    <s v="P0003"/>
    <x v="3"/>
    <s v="North"/>
    <n v="258"/>
    <n v="97"/>
    <n v="172"/>
    <n v="102.13"/>
    <n v="69.959999999999994"/>
    <n v="10"/>
    <s v="Snowy"/>
    <n v="1"/>
    <n v="70.94"/>
    <s v="Autumn"/>
    <n v="0.37596899224806202"/>
    <n v="-0.98000000000000398"/>
  </r>
  <r>
    <d v="2022-01-05T00:00:00"/>
    <s v="S004"/>
    <s v="P0004"/>
    <x v="1"/>
    <s v="North"/>
    <n v="357"/>
    <n v="173"/>
    <n v="97"/>
    <n v="190.9"/>
    <n v="51.07"/>
    <n v="5"/>
    <s v="Sunny"/>
    <n v="1"/>
    <n v="50.35"/>
    <s v="Spring"/>
    <n v="0.484593837535014"/>
    <n v="0.71999999999999886"/>
  </r>
  <r>
    <d v="2022-01-05T00:00:00"/>
    <s v="S004"/>
    <s v="P0005"/>
    <x v="2"/>
    <s v="East"/>
    <n v="387"/>
    <n v="69"/>
    <n v="199"/>
    <n v="87.46"/>
    <n v="99.12"/>
    <n v="20"/>
    <s v="Rainy"/>
    <n v="1"/>
    <n v="95.19"/>
    <s v="Autumn"/>
    <n v="0.17829457364341086"/>
    <n v="3.9300000000000068"/>
  </r>
  <r>
    <d v="2022-01-05T00:00:00"/>
    <s v="S004"/>
    <s v="P0006"/>
    <x v="3"/>
    <s v="East"/>
    <n v="378"/>
    <n v="256"/>
    <n v="169"/>
    <n v="271.82"/>
    <n v="77.59"/>
    <n v="15"/>
    <s v="Sunny"/>
    <n v="0"/>
    <n v="79.28"/>
    <s v="Autumn"/>
    <n v="0.67724867724867721"/>
    <n v="-1.6899999999999977"/>
  </r>
  <r>
    <d v="2022-01-05T00:00:00"/>
    <s v="S004"/>
    <s v="P0007"/>
    <x v="2"/>
    <s v="North"/>
    <n v="249"/>
    <n v="246"/>
    <n v="124"/>
    <n v="246.58"/>
    <n v="87.6"/>
    <n v="10"/>
    <s v="Snowy"/>
    <n v="0"/>
    <n v="92.28"/>
    <s v="Summer"/>
    <n v="0.98795180722891562"/>
    <n v="-4.6800000000000068"/>
  </r>
  <r>
    <d v="2022-01-05T00:00:00"/>
    <s v="S004"/>
    <s v="P0008"/>
    <x v="4"/>
    <s v="South"/>
    <n v="448"/>
    <n v="332"/>
    <n v="184"/>
    <n v="343.03"/>
    <n v="43.67"/>
    <n v="15"/>
    <s v="Cloudy"/>
    <n v="1"/>
    <n v="40.57"/>
    <s v="Summer"/>
    <n v="0.7410714285714286"/>
    <n v="3.1000000000000014"/>
  </r>
  <r>
    <d v="2022-01-05T00:00:00"/>
    <s v="S004"/>
    <s v="P0009"/>
    <x v="1"/>
    <s v="North"/>
    <n v="348"/>
    <n v="325"/>
    <n v="97"/>
    <n v="321.14999999999998"/>
    <n v="89.52"/>
    <n v="0"/>
    <s v="Rainy"/>
    <n v="0"/>
    <n v="87.3"/>
    <s v="Summer"/>
    <n v="0.93390804597701149"/>
    <n v="2.2199999999999989"/>
  </r>
  <r>
    <d v="2022-01-05T00:00:00"/>
    <s v="S004"/>
    <s v="P0010"/>
    <x v="0"/>
    <s v="East"/>
    <n v="412"/>
    <n v="53"/>
    <n v="75"/>
    <n v="72.67"/>
    <n v="12.89"/>
    <n v="0"/>
    <s v="Snowy"/>
    <n v="1"/>
    <n v="13.92"/>
    <s v="Autumn"/>
    <n v="0.12864077669902912"/>
    <n v="-1.0299999999999994"/>
  </r>
  <r>
    <d v="2022-01-05T00:00:00"/>
    <s v="S004"/>
    <s v="P0011"/>
    <x v="0"/>
    <s v="West"/>
    <n v="344"/>
    <n v="17"/>
    <n v="30"/>
    <n v="26.69"/>
    <n v="92.7"/>
    <n v="5"/>
    <s v="Sunny"/>
    <n v="0"/>
    <n v="97.29"/>
    <s v="Autumn"/>
    <n v="4.9418604651162788E-2"/>
    <n v="-4.5900000000000034"/>
  </r>
  <r>
    <d v="2022-01-05T00:00:00"/>
    <s v="S004"/>
    <s v="P0012"/>
    <x v="1"/>
    <s v="West"/>
    <n v="475"/>
    <n v="223"/>
    <n v="172"/>
    <n v="241.25"/>
    <n v="31.47"/>
    <n v="20"/>
    <s v="Snowy"/>
    <n v="0"/>
    <n v="29.24"/>
    <s v="Spring"/>
    <n v="0.46947368421052632"/>
    <n v="2.2300000000000004"/>
  </r>
  <r>
    <d v="2022-01-05T00:00:00"/>
    <s v="S004"/>
    <s v="P0013"/>
    <x v="2"/>
    <s v="West"/>
    <n v="400"/>
    <n v="95"/>
    <n v="86"/>
    <n v="113.09"/>
    <n v="89.52"/>
    <n v="0"/>
    <s v="Cloudy"/>
    <n v="0"/>
    <n v="91.76"/>
    <s v="Autumn"/>
    <n v="0.23749999999999999"/>
    <n v="-2.2400000000000091"/>
  </r>
  <r>
    <d v="2022-01-05T00:00:00"/>
    <s v="S004"/>
    <s v="P0014"/>
    <x v="1"/>
    <s v="North"/>
    <n v="424"/>
    <n v="225"/>
    <n v="37"/>
    <n v="220.89"/>
    <n v="54.44"/>
    <n v="20"/>
    <s v="Sunny"/>
    <n v="0"/>
    <n v="57.58"/>
    <s v="Winter"/>
    <n v="0.53066037735849059"/>
    <n v="-3.1400000000000006"/>
  </r>
  <r>
    <d v="2022-01-05T00:00:00"/>
    <s v="S004"/>
    <s v="P0015"/>
    <x v="0"/>
    <s v="East"/>
    <n v="441"/>
    <n v="216"/>
    <n v="118"/>
    <n v="207.56"/>
    <n v="21.75"/>
    <n v="15"/>
    <s v="Sunny"/>
    <n v="0"/>
    <n v="21.05"/>
    <s v="Winter"/>
    <n v="0.48979591836734693"/>
    <n v="0.69999999999999929"/>
  </r>
  <r>
    <d v="2022-01-05T00:00:00"/>
    <s v="S004"/>
    <s v="P0016"/>
    <x v="2"/>
    <s v="North"/>
    <n v="421"/>
    <n v="324"/>
    <n v="27"/>
    <n v="318.43"/>
    <n v="60.8"/>
    <n v="0"/>
    <s v="Rainy"/>
    <n v="1"/>
    <n v="58.01"/>
    <s v="Spring"/>
    <n v="0.76959619952494063"/>
    <n v="2.7899999999999991"/>
  </r>
  <r>
    <d v="2022-01-05T00:00:00"/>
    <s v="S004"/>
    <s v="P0017"/>
    <x v="1"/>
    <s v="South"/>
    <n v="278"/>
    <n v="75"/>
    <n v="56"/>
    <n v="90.62"/>
    <n v="60.17"/>
    <n v="5"/>
    <s v="Sunny"/>
    <n v="0"/>
    <n v="55.33"/>
    <s v="Summer"/>
    <n v="0.26978417266187049"/>
    <n v="4.8400000000000034"/>
  </r>
  <r>
    <d v="2022-01-05T00:00:00"/>
    <s v="S004"/>
    <s v="P0018"/>
    <x v="2"/>
    <s v="West"/>
    <n v="319"/>
    <n v="158"/>
    <n v="176"/>
    <n v="170.15"/>
    <n v="19.170000000000002"/>
    <n v="15"/>
    <s v="Rainy"/>
    <n v="1"/>
    <n v="20.52"/>
    <s v="Winter"/>
    <n v="0.4952978056426332"/>
    <n v="-1.3499999999999979"/>
  </r>
  <r>
    <d v="2022-01-05T00:00:00"/>
    <s v="S004"/>
    <s v="P0019"/>
    <x v="2"/>
    <s v="West"/>
    <n v="353"/>
    <n v="55"/>
    <n v="35"/>
    <n v="56.6"/>
    <n v="45.92"/>
    <n v="20"/>
    <s v="Snowy"/>
    <n v="0"/>
    <n v="46.95"/>
    <s v="Winter"/>
    <n v="0.15580736543909349"/>
    <n v="-1.0300000000000011"/>
  </r>
  <r>
    <d v="2022-01-05T00:00:00"/>
    <s v="S004"/>
    <s v="P0020"/>
    <x v="1"/>
    <s v="South"/>
    <n v="149"/>
    <n v="131"/>
    <n v="42"/>
    <n v="147.54"/>
    <n v="23.85"/>
    <n v="5"/>
    <s v="Cloudy"/>
    <n v="0"/>
    <n v="19.43"/>
    <s v="Autumn"/>
    <n v="0.87919463087248317"/>
    <n v="4.4200000000000017"/>
  </r>
  <r>
    <d v="2022-01-05T00:00:00"/>
    <s v="S005"/>
    <s v="P0001"/>
    <x v="1"/>
    <s v="South"/>
    <n v="371"/>
    <n v="74"/>
    <n v="115"/>
    <n v="93.27"/>
    <n v="40.47"/>
    <n v="20"/>
    <s v="Cloudy"/>
    <n v="0"/>
    <n v="40.299999999999997"/>
    <s v="Spring"/>
    <n v="0.19946091644204852"/>
    <n v="0.17000000000000171"/>
  </r>
  <r>
    <d v="2022-01-05T00:00:00"/>
    <s v="S005"/>
    <s v="P0002"/>
    <x v="1"/>
    <s v="West"/>
    <n v="98"/>
    <n v="59"/>
    <n v="94"/>
    <n v="62.06"/>
    <n v="26.25"/>
    <n v="15"/>
    <s v="Snowy"/>
    <n v="1"/>
    <n v="28.27"/>
    <s v="Autumn"/>
    <n v="0.60204081632653061"/>
    <n v="-2.0199999999999996"/>
  </r>
  <r>
    <d v="2022-01-05T00:00:00"/>
    <s v="S005"/>
    <s v="P0003"/>
    <x v="2"/>
    <s v="South"/>
    <n v="318"/>
    <n v="150"/>
    <n v="171"/>
    <n v="145.30000000000001"/>
    <n v="82.08"/>
    <n v="5"/>
    <s v="Rainy"/>
    <n v="0"/>
    <n v="82.7"/>
    <s v="Spring"/>
    <n v="0.47169811320754718"/>
    <n v="-0.62000000000000455"/>
  </r>
  <r>
    <d v="2022-01-05T00:00:00"/>
    <s v="S005"/>
    <s v="P0004"/>
    <x v="0"/>
    <s v="North"/>
    <n v="200"/>
    <n v="135"/>
    <n v="192"/>
    <n v="145.91"/>
    <n v="50.59"/>
    <n v="15"/>
    <s v="Sunny"/>
    <n v="0"/>
    <n v="54.05"/>
    <s v="Spring"/>
    <n v="0.67500000000000004"/>
    <n v="-3.4599999999999937"/>
  </r>
  <r>
    <d v="2022-01-05T00:00:00"/>
    <s v="S005"/>
    <s v="P0005"/>
    <x v="1"/>
    <s v="West"/>
    <n v="299"/>
    <n v="79"/>
    <n v="117"/>
    <n v="97.08"/>
    <n v="49.08"/>
    <n v="5"/>
    <s v="Rainy"/>
    <n v="0"/>
    <n v="45.5"/>
    <s v="Spring"/>
    <n v="0.26421404682274247"/>
    <n v="3.5799999999999983"/>
  </r>
  <r>
    <d v="2022-01-05T00:00:00"/>
    <s v="S005"/>
    <s v="P0006"/>
    <x v="0"/>
    <s v="South"/>
    <n v="392"/>
    <n v="62"/>
    <n v="125"/>
    <n v="68.41"/>
    <n v="12.38"/>
    <n v="0"/>
    <s v="Rainy"/>
    <n v="1"/>
    <n v="16.239999999999998"/>
    <s v="Summer"/>
    <n v="0.15816326530612246"/>
    <n v="-3.8599999999999977"/>
  </r>
  <r>
    <d v="2022-01-05T00:00:00"/>
    <s v="S005"/>
    <s v="P0007"/>
    <x v="4"/>
    <s v="East"/>
    <n v="399"/>
    <n v="130"/>
    <n v="77"/>
    <n v="123.53"/>
    <n v="49.02"/>
    <n v="20"/>
    <s v="Cloudy"/>
    <n v="0"/>
    <n v="53.33"/>
    <s v="Autumn"/>
    <n v="0.32581453634085211"/>
    <n v="-4.3099999999999952"/>
  </r>
  <r>
    <d v="2022-01-05T00:00:00"/>
    <s v="S005"/>
    <s v="P0008"/>
    <x v="1"/>
    <s v="North"/>
    <n v="192"/>
    <n v="74"/>
    <n v="116"/>
    <n v="66.44"/>
    <n v="27.08"/>
    <n v="10"/>
    <s v="Sunny"/>
    <n v="1"/>
    <n v="31.34"/>
    <s v="Summer"/>
    <n v="0.38541666666666669"/>
    <n v="-4.2600000000000016"/>
  </r>
  <r>
    <d v="2022-01-05T00:00:00"/>
    <s v="S005"/>
    <s v="P0009"/>
    <x v="4"/>
    <s v="West"/>
    <n v="149"/>
    <n v="16"/>
    <n v="23"/>
    <n v="34.950000000000003"/>
    <n v="59.13"/>
    <n v="10"/>
    <s v="Rainy"/>
    <n v="0"/>
    <n v="59.09"/>
    <s v="Summer"/>
    <n v="0.10738255033557047"/>
    <n v="3.9999999999999147E-2"/>
  </r>
  <r>
    <d v="2022-01-05T00:00:00"/>
    <s v="S005"/>
    <s v="P0010"/>
    <x v="3"/>
    <s v="North"/>
    <n v="406"/>
    <n v="342"/>
    <n v="195"/>
    <n v="353.01"/>
    <n v="43.1"/>
    <n v="5"/>
    <s v="Cloudy"/>
    <n v="1"/>
    <n v="42.19"/>
    <s v="Summer"/>
    <n v="0.8423645320197044"/>
    <n v="0.91000000000000369"/>
  </r>
  <r>
    <d v="2022-01-05T00:00:00"/>
    <s v="S005"/>
    <s v="P0011"/>
    <x v="2"/>
    <s v="South"/>
    <n v="91"/>
    <n v="48"/>
    <n v="155"/>
    <n v="51.37"/>
    <n v="13.33"/>
    <n v="5"/>
    <s v="Cloudy"/>
    <n v="0"/>
    <n v="13.1"/>
    <s v="Autumn"/>
    <n v="0.52747252747252749"/>
    <n v="0.23000000000000043"/>
  </r>
  <r>
    <d v="2022-01-05T00:00:00"/>
    <s v="S005"/>
    <s v="P0012"/>
    <x v="4"/>
    <s v="East"/>
    <n v="228"/>
    <n v="224"/>
    <n v="147"/>
    <n v="218.16"/>
    <n v="98.66"/>
    <n v="10"/>
    <s v="Snowy"/>
    <n v="0"/>
    <n v="103.3"/>
    <s v="Spring"/>
    <n v="0.98245614035087714"/>
    <n v="-4.6400000000000006"/>
  </r>
  <r>
    <d v="2022-01-05T00:00:00"/>
    <s v="S005"/>
    <s v="P0013"/>
    <x v="2"/>
    <s v="South"/>
    <n v="68"/>
    <n v="64"/>
    <n v="54"/>
    <n v="71.81"/>
    <n v="39.799999999999997"/>
    <n v="15"/>
    <s v="Rainy"/>
    <n v="1"/>
    <n v="35.380000000000003"/>
    <s v="Summer"/>
    <n v="0.94117647058823528"/>
    <n v="4.4199999999999946"/>
  </r>
  <r>
    <d v="2022-01-05T00:00:00"/>
    <s v="S005"/>
    <s v="P0014"/>
    <x v="1"/>
    <s v="North"/>
    <n v="358"/>
    <n v="322"/>
    <n v="36"/>
    <n v="316.68"/>
    <n v="86.26"/>
    <n v="10"/>
    <s v="Rainy"/>
    <n v="0"/>
    <n v="85.97"/>
    <s v="Summer"/>
    <n v="0.8994413407821229"/>
    <n v="0.29000000000000625"/>
  </r>
  <r>
    <d v="2022-01-05T00:00:00"/>
    <s v="S005"/>
    <s v="P0015"/>
    <x v="1"/>
    <s v="South"/>
    <n v="361"/>
    <n v="264"/>
    <n v="75"/>
    <n v="258.32"/>
    <n v="85.81"/>
    <n v="10"/>
    <s v="Snowy"/>
    <n v="1"/>
    <n v="89.25"/>
    <s v="Summer"/>
    <n v="0.73130193905817176"/>
    <n v="-3.4399999999999977"/>
  </r>
  <r>
    <d v="2022-01-05T00:00:00"/>
    <s v="S005"/>
    <s v="P0016"/>
    <x v="2"/>
    <s v="West"/>
    <n v="371"/>
    <n v="343"/>
    <n v="98"/>
    <n v="350.28"/>
    <n v="58.21"/>
    <n v="20"/>
    <s v="Rainy"/>
    <n v="0"/>
    <n v="57.49"/>
    <s v="Spring"/>
    <n v="0.92452830188679247"/>
    <n v="0.71999999999999886"/>
  </r>
  <r>
    <d v="2022-01-05T00:00:00"/>
    <s v="S005"/>
    <s v="P0017"/>
    <x v="0"/>
    <s v="East"/>
    <n v="231"/>
    <n v="15"/>
    <n v="107"/>
    <n v="26.67"/>
    <n v="74.42"/>
    <n v="5"/>
    <s v="Cloudy"/>
    <n v="0"/>
    <n v="73.86"/>
    <s v="Summer"/>
    <n v="6.4935064935064929E-2"/>
    <n v="0.56000000000000227"/>
  </r>
  <r>
    <d v="2022-01-05T00:00:00"/>
    <s v="S005"/>
    <s v="P0018"/>
    <x v="1"/>
    <s v="East"/>
    <n v="269"/>
    <n v="90"/>
    <n v="109"/>
    <n v="105.45"/>
    <n v="53.06"/>
    <n v="10"/>
    <s v="Sunny"/>
    <n v="0"/>
    <n v="56"/>
    <s v="Summer"/>
    <n v="0.33457249070631973"/>
    <n v="-2.9399999999999977"/>
  </r>
  <r>
    <d v="2022-01-05T00:00:00"/>
    <s v="S005"/>
    <s v="P0019"/>
    <x v="4"/>
    <s v="South"/>
    <n v="444"/>
    <n v="143"/>
    <n v="196"/>
    <n v="153"/>
    <n v="61.9"/>
    <n v="15"/>
    <s v="Snowy"/>
    <n v="0"/>
    <n v="60.14"/>
    <s v="Autumn"/>
    <n v="0.32207207207207206"/>
    <n v="1.759999999999998"/>
  </r>
  <r>
    <d v="2022-01-05T00:00:00"/>
    <s v="S005"/>
    <s v="P0020"/>
    <x v="0"/>
    <s v="South"/>
    <n v="243"/>
    <n v="36"/>
    <n v="107"/>
    <n v="47.12"/>
    <n v="53.65"/>
    <n v="20"/>
    <s v="Cloudy"/>
    <n v="1"/>
    <n v="49.72"/>
    <s v="Winter"/>
    <n v="0.14814814814814814"/>
    <n v="3.92999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432A70-99F6-493E-938F-6C8061A913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6:B31" firstHeaderRow="1" firstDataRow="1" firstDataCol="1"/>
  <pivotFields count="17">
    <pivotField numFmtId="14" showAll="0"/>
    <pivotField showAll="0"/>
    <pivotField showAll="0"/>
    <pivotField showAll="0"/>
    <pivotField axis="axisRow" showAll="0">
      <items count="5">
        <item x="3"/>
        <item x="0"/>
        <item x="1"/>
        <item x="2"/>
        <item t="default"/>
      </items>
    </pivotField>
    <pivotField numFmtId="1" showAll="0"/>
    <pivotField dataField="1" numFmtId="1" showAll="0"/>
    <pivotField numFmtId="1" showAll="0"/>
    <pivotField numFmtId="164" showAll="0"/>
    <pivotField numFmtId="164" showAll="0"/>
    <pivotField numFmtId="1" showAll="0"/>
    <pivotField showAll="0"/>
    <pivotField showAll="0"/>
    <pivotField numFmtId="164" showAll="0"/>
    <pivotField showAll="0"/>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Units Sold" fld="6" baseField="0" baseItem="0" numFmtId="1"/>
  </dataFields>
  <formats count="6">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84CC63-BA04-4F1A-AF3D-E986E9DA0E8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B12" firstHeaderRow="1" firstDataRow="1" firstDataCol="1"/>
  <pivotFields count="17">
    <pivotField numFmtId="14" showAll="0"/>
    <pivotField showAll="0"/>
    <pivotField showAll="0"/>
    <pivotField axis="axisRow" showAll="0">
      <items count="6">
        <item x="4"/>
        <item x="2"/>
        <item x="3"/>
        <item x="0"/>
        <item x="1"/>
        <item t="default"/>
      </items>
    </pivotField>
    <pivotField showAll="0"/>
    <pivotField numFmtId="1" showAll="0"/>
    <pivotField dataField="1" numFmtId="1" showAll="0"/>
    <pivotField numFmtId="1" showAll="0"/>
    <pivotField numFmtId="164" showAll="0"/>
    <pivotField numFmtId="164" showAll="0"/>
    <pivotField numFmtId="1" showAll="0"/>
    <pivotField showAll="0"/>
    <pivotField showAll="0"/>
    <pivotField numFmtId="164" showAll="0"/>
    <pivotField showAll="0"/>
    <pivotField dragToRow="0" dragToCol="0" dragToPage="0" showAll="0" defaultSubtotal="0"/>
    <pivotField dragToRow="0" dragToCol="0" dragToPage="0" showAll="0" defaultSubtotal="0"/>
  </pivotFields>
  <rowFields count="1">
    <field x="3"/>
  </rowFields>
  <rowItems count="6">
    <i>
      <x/>
    </i>
    <i>
      <x v="1"/>
    </i>
    <i>
      <x v="2"/>
    </i>
    <i>
      <x v="3"/>
    </i>
    <i>
      <x v="4"/>
    </i>
    <i t="grand">
      <x/>
    </i>
  </rowItems>
  <colItems count="1">
    <i/>
  </colItems>
  <dataFields count="1">
    <dataField name="Sum of Units Sold" fld="6" baseField="0" baseItem="0" numFmtId="1"/>
  </dataFields>
  <formats count="6">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EF94D6-4EC1-4C2B-BAA2-516764A62CEB}"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44:N50" firstHeaderRow="1" firstDataRow="1" firstDataCol="1"/>
  <pivotFields count="17">
    <pivotField numFmtId="14" showAll="0"/>
    <pivotField showAll="0"/>
    <pivotField showAll="0"/>
    <pivotField axis="axisRow" showAll="0">
      <items count="6">
        <item x="4"/>
        <item x="2"/>
        <item x="3"/>
        <item x="0"/>
        <item x="1"/>
        <item t="default"/>
      </items>
    </pivotField>
    <pivotField showAll="0"/>
    <pivotField numFmtId="1" showAll="0"/>
    <pivotField numFmtId="1" showAll="0"/>
    <pivotField numFmtId="1" showAll="0"/>
    <pivotField numFmtId="164" showAll="0"/>
    <pivotField numFmtId="164" showAll="0"/>
    <pivotField numFmtId="1" showAll="0"/>
    <pivotField showAll="0"/>
    <pivotField showAll="0"/>
    <pivotField numFmtId="164" showAll="0"/>
    <pivotField showAll="0"/>
    <pivotField showAll="0"/>
    <pivotField dataField="1" numFmtId="164" showAll="0"/>
  </pivotFields>
  <rowFields count="1">
    <field x="3"/>
  </rowFields>
  <rowItems count="6">
    <i>
      <x/>
    </i>
    <i>
      <x v="1"/>
    </i>
    <i>
      <x v="2"/>
    </i>
    <i>
      <x v="3"/>
    </i>
    <i>
      <x v="4"/>
    </i>
    <i t="grand">
      <x/>
    </i>
  </rowItems>
  <colItems count="1">
    <i/>
  </colItems>
  <dataFields count="1">
    <dataField name="Average of Price Difference" fld="16" subtotal="average" baseField="3" baseItem="1" numFmtId="166"/>
  </dataFields>
  <formats count="6">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B695A7-9510-4CA2-ABA5-3BEC67063C1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26:N32" firstHeaderRow="1" firstDataRow="1" firstDataCol="1"/>
  <pivotFields count="16">
    <pivotField numFmtId="14" showAll="0"/>
    <pivotField showAll="0"/>
    <pivotField showAll="0"/>
    <pivotField axis="axisRow" showAll="0">
      <items count="6">
        <item x="4"/>
        <item x="2"/>
        <item x="3"/>
        <item x="0"/>
        <item x="1"/>
        <item t="default"/>
      </items>
    </pivotField>
    <pivotField showAll="0"/>
    <pivotField numFmtId="1" showAll="0"/>
    <pivotField numFmtId="1" showAll="0"/>
    <pivotField numFmtId="1" showAll="0"/>
    <pivotField numFmtId="164" showAll="0"/>
    <pivotField numFmtId="164" showAll="0"/>
    <pivotField numFmtId="1" showAll="0"/>
    <pivotField showAll="0"/>
    <pivotField showAll="0"/>
    <pivotField numFmtId="164" showAll="0"/>
    <pivotField showAll="0"/>
    <pivotField dataField="1" showAll="0"/>
  </pivotFields>
  <rowFields count="1">
    <field x="3"/>
  </rowFields>
  <rowItems count="6">
    <i>
      <x/>
    </i>
    <i>
      <x v="1"/>
    </i>
    <i>
      <x v="2"/>
    </i>
    <i>
      <x v="3"/>
    </i>
    <i>
      <x v="4"/>
    </i>
    <i t="grand">
      <x/>
    </i>
  </rowItems>
  <colItems count="1">
    <i/>
  </colItems>
  <dataFields count="1">
    <dataField name="Average of Stock Efficiency" fld="15" subtotal="average" baseField="3" baseItem="2" numFmtId="165"/>
  </dataFields>
  <formats count="12">
    <format dxfId="29">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fieldPosition="0">
        <references count="1">
          <reference field="3" count="0"/>
        </references>
      </pivotArea>
    </format>
    <format dxfId="19">
      <pivotArea dataOnly="0" labelOnly="1" grandRow="1" outline="0" fieldPosition="0"/>
    </format>
    <format dxfId="18">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6EE8ED-D36B-4951-A717-4229682A384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6:N12" firstHeaderRow="1" firstDataRow="1" firstDataCol="1"/>
  <pivotFields count="17">
    <pivotField numFmtId="14" showAll="0"/>
    <pivotField showAll="0"/>
    <pivotField showAll="0"/>
    <pivotField axis="axisRow" showAll="0">
      <items count="6">
        <item x="4"/>
        <item x="2"/>
        <item x="3"/>
        <item x="0"/>
        <item x="1"/>
        <item t="default"/>
      </items>
    </pivotField>
    <pivotField showAll="0"/>
    <pivotField numFmtId="1" showAll="0"/>
    <pivotField numFmtId="1" showAll="0"/>
    <pivotField numFmtId="1" showAll="0"/>
    <pivotField numFmtId="164" showAll="0"/>
    <pivotField dataField="1" numFmtId="164" showAll="0"/>
    <pivotField numFmtId="1" showAll="0"/>
    <pivotField showAll="0"/>
    <pivotField showAll="0"/>
    <pivotField numFmtId="164" showAll="0"/>
    <pivotField showAll="0"/>
    <pivotField dragToRow="0" dragToCol="0" dragToPage="0" showAll="0" defaultSubtotal="0"/>
    <pivotField dragToRow="0" dragToCol="0" dragToPage="0" showAll="0" defaultSubtotal="0"/>
  </pivotFields>
  <rowFields count="1">
    <field x="3"/>
  </rowFields>
  <rowItems count="6">
    <i>
      <x/>
    </i>
    <i>
      <x v="1"/>
    </i>
    <i>
      <x v="2"/>
    </i>
    <i>
      <x v="3"/>
    </i>
    <i>
      <x v="4"/>
    </i>
    <i t="grand">
      <x/>
    </i>
  </rowItems>
  <colItems count="1">
    <i/>
  </colItems>
  <dataFields count="1">
    <dataField name="Average of Price" fld="9" subtotal="average" baseField="3" baseItem="2" numFmtId="164"/>
  </dataFields>
  <formats count="6">
    <format dxfId="35">
      <pivotArea type="all" dataOnly="0" outline="0" fieldPosition="0"/>
    </format>
    <format dxfId="34">
      <pivotArea outline="0" collapsedLevelsAreSubtotals="1" fieldPosition="0"/>
    </format>
    <format dxfId="33">
      <pivotArea field="3" type="button" dataOnly="0" labelOnly="1" outline="0" axis="axisRow" fieldPosition="0"/>
    </format>
    <format dxfId="32">
      <pivotArea dataOnly="0" labelOnly="1" fieldPosition="0">
        <references count="1">
          <reference field="3" count="0"/>
        </references>
      </pivotArea>
    </format>
    <format dxfId="31">
      <pivotArea dataOnly="0" labelOnly="1" grandRow="1" outline="0" fieldPosition="0"/>
    </format>
    <format dxfId="3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C579D7-08E0-4157-B675-A225468D03F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5:B50" firstHeaderRow="1" firstDataRow="1" firstDataCol="1"/>
  <pivotFields count="17">
    <pivotField numFmtId="14" showAll="0"/>
    <pivotField showAll="0"/>
    <pivotField showAll="0"/>
    <pivotField showAll="0"/>
    <pivotField showAll="0"/>
    <pivotField numFmtId="1" showAll="0"/>
    <pivotField dataField="1" numFmtId="1" showAll="0"/>
    <pivotField numFmtId="1" showAll="0"/>
    <pivotField numFmtId="164" showAll="0"/>
    <pivotField numFmtId="164" showAll="0"/>
    <pivotField numFmtId="1" showAll="0"/>
    <pivotField showAll="0"/>
    <pivotField showAll="0"/>
    <pivotField numFmtId="164" showAll="0"/>
    <pivotField axis="axisRow" showAll="0">
      <items count="5">
        <item x="0"/>
        <item x="3"/>
        <item x="1"/>
        <item x="2"/>
        <item t="default"/>
      </items>
    </pivotField>
    <pivotField dragToRow="0" dragToCol="0" dragToPage="0" showAll="0" defaultSubtotal="0"/>
    <pivotField dragToRow="0" dragToCol="0" dragToPage="0" showAll="0" defaultSubtotal="0"/>
  </pivotFields>
  <rowFields count="1">
    <field x="14"/>
  </rowFields>
  <rowItems count="5">
    <i>
      <x/>
    </i>
    <i>
      <x v="1"/>
    </i>
    <i>
      <x v="2"/>
    </i>
    <i>
      <x v="3"/>
    </i>
    <i t="grand">
      <x/>
    </i>
  </rowItems>
  <colItems count="1">
    <i/>
  </colItems>
  <dataFields count="1">
    <dataField name="Sum of Units Sold" fld="6" baseField="0" baseItem="0" numFmtId="1"/>
  </dataFields>
  <formats count="6">
    <format dxfId="41">
      <pivotArea type="all" dataOnly="0" outline="0" fieldPosition="0"/>
    </format>
    <format dxfId="40">
      <pivotArea outline="0" collapsedLevelsAreSubtotals="1" fieldPosition="0"/>
    </format>
    <format dxfId="39">
      <pivotArea field="14" type="button" dataOnly="0" labelOnly="1" outline="0" axis="axisRow" fieldPosition="0"/>
    </format>
    <format dxfId="38">
      <pivotArea dataOnly="0" labelOnly="1" fieldPosition="0">
        <references count="1">
          <reference field="14" count="0"/>
        </references>
      </pivotArea>
    </format>
    <format dxfId="37">
      <pivotArea dataOnly="0" labelOnly="1" grandRow="1" outline="0" fieldPosition="0"/>
    </format>
    <format dxfId="3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93B4C4-0672-4090-AF7C-654E904EE1A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64:E69" firstHeaderRow="1" firstDataRow="1" firstDataCol="1"/>
  <pivotFields count="16">
    <pivotField numFmtId="14" showAll="0"/>
    <pivotField showAll="0"/>
    <pivotField showAll="0"/>
    <pivotField showAll="0">
      <items count="6">
        <item x="4"/>
        <item x="2"/>
        <item x="3"/>
        <item x="0"/>
        <item x="1"/>
        <item t="default"/>
      </items>
    </pivotField>
    <pivotField axis="axisRow" showAll="0" sortType="ascending">
      <items count="5">
        <item x="3"/>
        <item x="0"/>
        <item x="1"/>
        <item x="2"/>
        <item t="default"/>
      </items>
      <autoSortScope>
        <pivotArea dataOnly="0" outline="0" fieldPosition="0">
          <references count="1">
            <reference field="4294967294" count="1" selected="0">
              <x v="0"/>
            </reference>
          </references>
        </pivotArea>
      </autoSortScope>
    </pivotField>
    <pivotField numFmtId="1" showAll="0"/>
    <pivotField dataField="1" numFmtId="1" showAll="0"/>
    <pivotField numFmtId="1" showAll="0"/>
    <pivotField numFmtId="164" showAll="0"/>
    <pivotField numFmtId="164" showAll="0"/>
    <pivotField numFmtId="1" showAll="0"/>
    <pivotField showAll="0"/>
    <pivotField showAll="0"/>
    <pivotField numFmtId="164" showAll="0"/>
    <pivotField showAll="0"/>
    <pivotField showAll="0"/>
  </pivotFields>
  <rowFields count="1">
    <field x="4"/>
  </rowFields>
  <rowItems count="5">
    <i>
      <x v="2"/>
    </i>
    <i>
      <x v="1"/>
    </i>
    <i>
      <x/>
    </i>
    <i>
      <x v="3"/>
    </i>
    <i t="grand">
      <x/>
    </i>
  </rowItems>
  <colItems count="1">
    <i/>
  </colItems>
  <dataFields count="1">
    <dataField name="Sum of Units Sold" fld="6" baseField="0" baseItem="0" numFmtId="1"/>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A24744-23D6-4F37-8DB6-41CB2566E002}"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20:D26" firstHeaderRow="0" firstDataRow="1" firstDataCol="1"/>
  <pivotFields count="16">
    <pivotField numFmtId="14" showAll="0"/>
    <pivotField showAll="0"/>
    <pivotField showAll="0"/>
    <pivotField axis="axisRow" showAll="0">
      <items count="6">
        <item x="4"/>
        <item x="2"/>
        <item x="3"/>
        <item x="0"/>
        <item x="1"/>
        <item t="default"/>
      </items>
    </pivotField>
    <pivotField showAll="0">
      <items count="5">
        <item x="3"/>
        <item x="0"/>
        <item x="1"/>
        <item x="2"/>
        <item t="default"/>
      </items>
    </pivotField>
    <pivotField numFmtId="1" showAll="0"/>
    <pivotField numFmtId="1" showAll="0"/>
    <pivotField numFmtId="1" showAll="0"/>
    <pivotField numFmtId="164" showAll="0"/>
    <pivotField dataField="1" numFmtId="164" showAll="0"/>
    <pivotField numFmtId="1" showAll="0"/>
    <pivotField showAll="0">
      <items count="5">
        <item x="2"/>
        <item x="0"/>
        <item x="3"/>
        <item x="1"/>
        <item t="default"/>
      </items>
    </pivotField>
    <pivotField showAll="0">
      <items count="3">
        <item x="0"/>
        <item x="1"/>
        <item t="default"/>
      </items>
    </pivotField>
    <pivotField dataField="1" numFmtId="164"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Average of Price" fld="9" subtotal="average" baseField="3" baseItem="2" numFmtId="164"/>
    <dataField name="Average of Competitor Pricing" fld="13" subtotal="average" baseField="3" baseItem="2" numFmtId="164"/>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D20A14-8856-451D-9339-D0D92FC61D0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64:C70" firstHeaderRow="1" firstDataRow="1" firstDataCol="1"/>
  <pivotFields count="16">
    <pivotField numFmtId="14" showAll="0"/>
    <pivotField showAll="0"/>
    <pivotField showAll="0"/>
    <pivotField axis="axisRow" showAll="0" sortType="descending">
      <items count="6">
        <item x="4"/>
        <item x="2"/>
        <item x="3"/>
        <item x="0"/>
        <item x="1"/>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numFmtId="1" showAll="0"/>
    <pivotField dataField="1" numFmtId="1" showAll="0"/>
    <pivotField numFmtId="1" showAll="0"/>
    <pivotField numFmtId="164" showAll="0"/>
    <pivotField numFmtId="164" showAll="0"/>
    <pivotField numFmtId="1" showAll="0"/>
    <pivotField showAll="0"/>
    <pivotField showAll="0"/>
    <pivotField numFmtId="164" showAll="0"/>
    <pivotField showAll="0"/>
    <pivotField showAll="0"/>
  </pivotFields>
  <rowFields count="1">
    <field x="3"/>
  </rowFields>
  <rowItems count="6">
    <i>
      <x v="4"/>
    </i>
    <i>
      <x v="1"/>
    </i>
    <i>
      <x v="3"/>
    </i>
    <i>
      <x/>
    </i>
    <i>
      <x v="2"/>
    </i>
    <i t="grand">
      <x/>
    </i>
  </rowItems>
  <colItems count="1">
    <i/>
  </colItems>
  <dataFields count="1">
    <dataField name="Sum of Units Sold" fld="6" baseField="0" baseItem="0" numFmtId="1"/>
  </dataFields>
  <chartFormats count="6">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3" count="1" selected="0">
            <x v="4"/>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 chart="6" format="4">
      <pivotArea type="data" outline="0" fieldPosition="0">
        <references count="2">
          <reference field="4294967294" count="1" selected="0">
            <x v="0"/>
          </reference>
          <reference field="3" count="1" selected="0">
            <x v="3"/>
          </reference>
        </references>
      </pivotArea>
    </chartFormat>
    <chartFormat chart="6" format="5">
      <pivotArea type="data" outline="0" fieldPosition="0">
        <references count="2">
          <reference field="4294967294" count="1" selected="0">
            <x v="0"/>
          </reference>
          <reference field="3" count="1" selected="0">
            <x v="0"/>
          </reference>
        </references>
      </pivotArea>
    </chartFormat>
    <chartFormat chart="6" format="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1345E9-AE32-4C1D-8D62-ADDD9C0C672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2:H8" firstHeaderRow="1" firstDataRow="2" firstDataCol="1"/>
  <pivotFields count="16">
    <pivotField numFmtId="14" showAll="0"/>
    <pivotField showAll="0"/>
    <pivotField showAll="0"/>
    <pivotField axis="axisCol" showAll="0">
      <items count="6">
        <item x="4"/>
        <item x="2"/>
        <item x="3"/>
        <item x="0"/>
        <item x="1"/>
        <item t="default"/>
      </items>
    </pivotField>
    <pivotField axis="axisRow" showAll="0">
      <items count="5">
        <item x="3"/>
        <item x="0"/>
        <item x="1"/>
        <item x="2"/>
        <item t="default"/>
      </items>
    </pivotField>
    <pivotField numFmtId="1" showAll="0"/>
    <pivotField dataField="1" numFmtId="1" showAll="0"/>
    <pivotField numFmtId="1" showAll="0"/>
    <pivotField numFmtId="164" showAll="0"/>
    <pivotField numFmtId="164" showAll="0"/>
    <pivotField numFmtId="1" showAll="0"/>
    <pivotField showAll="0">
      <items count="5">
        <item x="2"/>
        <item x="0"/>
        <item x="3"/>
        <item x="1"/>
        <item t="default"/>
      </items>
    </pivotField>
    <pivotField showAll="0">
      <items count="3">
        <item x="0"/>
        <item x="1"/>
        <item t="default"/>
      </items>
    </pivotField>
    <pivotField numFmtId="164" showAll="0"/>
    <pivotField showAll="0"/>
    <pivotField showAll="0"/>
  </pivotFields>
  <rowFields count="1">
    <field x="4"/>
  </rowFields>
  <rowItems count="5">
    <i>
      <x/>
    </i>
    <i>
      <x v="1"/>
    </i>
    <i>
      <x v="2"/>
    </i>
    <i>
      <x v="3"/>
    </i>
    <i t="grand">
      <x/>
    </i>
  </rowItems>
  <colFields count="1">
    <field x="3"/>
  </colFields>
  <colItems count="6">
    <i>
      <x/>
    </i>
    <i>
      <x v="1"/>
    </i>
    <i>
      <x v="2"/>
    </i>
    <i>
      <x v="3"/>
    </i>
    <i>
      <x v="4"/>
    </i>
    <i t="grand">
      <x/>
    </i>
  </colItems>
  <dataFields count="1">
    <dataField name="Sum of Units Sold" fld="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6A6F3D-27B3-44A1-BC18-6EFB7F172872}"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54:E60" firstHeaderRow="0" firstDataRow="1" firstDataCol="1"/>
  <pivotFields count="16">
    <pivotField numFmtId="14" showAll="0"/>
    <pivotField showAll="0"/>
    <pivotField showAll="0"/>
    <pivotField axis="axisRow" showAll="0">
      <items count="6">
        <item x="4"/>
        <item x="2"/>
        <item x="3"/>
        <item x="0"/>
        <item x="1"/>
        <item t="default"/>
      </items>
    </pivotField>
    <pivotField showAll="0">
      <items count="5">
        <item x="3"/>
        <item x="0"/>
        <item x="1"/>
        <item x="2"/>
        <item t="default"/>
      </items>
    </pivotField>
    <pivotField numFmtId="1" showAll="0"/>
    <pivotField dataField="1" numFmtId="1" showAll="0"/>
    <pivotField numFmtId="1" showAll="0"/>
    <pivotField dataField="1" numFmtId="164" showAll="0"/>
    <pivotField numFmtId="164" showAll="0"/>
    <pivotField numFmtId="1" showAll="0"/>
    <pivotField showAll="0">
      <items count="5">
        <item x="2"/>
        <item x="0"/>
        <item x="3"/>
        <item x="1"/>
        <item t="default"/>
      </items>
    </pivotField>
    <pivotField showAll="0">
      <items count="3">
        <item x="0"/>
        <item x="1"/>
        <item t="default"/>
      </items>
    </pivotField>
    <pivotField numFmtId="164" showAll="0"/>
    <pivotField showAll="0"/>
    <pivotField dataField="1" showAll="0"/>
  </pivotFields>
  <rowFields count="1">
    <field x="3"/>
  </rowFields>
  <rowItems count="6">
    <i>
      <x/>
    </i>
    <i>
      <x v="1"/>
    </i>
    <i>
      <x v="2"/>
    </i>
    <i>
      <x v="3"/>
    </i>
    <i>
      <x v="4"/>
    </i>
    <i t="grand">
      <x/>
    </i>
  </rowItems>
  <colFields count="1">
    <field x="-2"/>
  </colFields>
  <colItems count="3">
    <i>
      <x/>
    </i>
    <i i="1">
      <x v="1"/>
    </i>
    <i i="2">
      <x v="2"/>
    </i>
  </colItems>
  <dataFields count="3">
    <dataField name="Average of Stock Efficiency" fld="15" subtotal="average" baseField="3" baseItem="0" numFmtId="2"/>
    <dataField name="Average of Units Sold" fld="6" subtotal="average" baseField="3" baseItem="2" numFmtId="1"/>
    <dataField name="Average of Demand Forecast" fld="8" subtotal="average" baseField="3" baseItem="3"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49A0FC-B89B-4BE9-A74F-472FB706B32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69:L75" firstHeaderRow="1" firstDataRow="1" firstDataCol="1"/>
  <pivotFields count="16">
    <pivotField axis="axisRow" numFmtId="14" showAll="0">
      <items count="6">
        <item x="0"/>
        <item x="1"/>
        <item x="2"/>
        <item x="3"/>
        <item x="4"/>
        <item t="default"/>
      </items>
    </pivotField>
    <pivotField showAll="0"/>
    <pivotField showAll="0"/>
    <pivotField showAll="0"/>
    <pivotField showAll="0"/>
    <pivotField numFmtId="1" showAll="0"/>
    <pivotField dataField="1" numFmtId="1" showAll="0"/>
    <pivotField numFmtId="1" showAll="0"/>
    <pivotField numFmtId="164" showAll="0"/>
    <pivotField numFmtId="164" showAll="0"/>
    <pivotField numFmtId="1" showAll="0"/>
    <pivotField showAll="0"/>
    <pivotField showAll="0"/>
    <pivotField numFmtId="164" showAll="0"/>
    <pivotField showAll="0"/>
    <pivotField showAll="0"/>
  </pivotFields>
  <rowFields count="1">
    <field x="0"/>
  </rowFields>
  <rowItems count="6">
    <i>
      <x/>
    </i>
    <i>
      <x v="1"/>
    </i>
    <i>
      <x v="2"/>
    </i>
    <i>
      <x v="3"/>
    </i>
    <i>
      <x v="4"/>
    </i>
    <i t="grand">
      <x/>
    </i>
  </rowItems>
  <colItems count="1">
    <i/>
  </colItems>
  <dataFields count="1">
    <dataField name="Sum of Units Sold" fld="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7AA516D-77D4-4147-B135-81F7A5245D0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60:L66" firstHeaderRow="1" firstDataRow="1" firstDataCol="1"/>
  <pivotFields count="16">
    <pivotField numFmtId="14" showAll="0"/>
    <pivotField showAll="0"/>
    <pivotField showAll="0"/>
    <pivotField axis="axisRow" showAll="0" sortType="ascending">
      <items count="6">
        <item x="4"/>
        <item x="2"/>
        <item x="3"/>
        <item x="0"/>
        <item x="1"/>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numFmtId="1" showAll="0"/>
    <pivotField numFmtId="1" showAll="0"/>
    <pivotField numFmtId="1" showAll="0"/>
    <pivotField numFmtId="164" showAll="0"/>
    <pivotField numFmtId="164" showAll="0"/>
    <pivotField numFmtId="1" showAll="0"/>
    <pivotField showAll="0"/>
    <pivotField showAll="0"/>
    <pivotField numFmtId="164" showAll="0"/>
    <pivotField showAll="0"/>
    <pivotField dataField="1" showAll="0"/>
  </pivotFields>
  <rowFields count="1">
    <field x="3"/>
  </rowFields>
  <rowItems count="6">
    <i>
      <x v="3"/>
    </i>
    <i>
      <x v="2"/>
    </i>
    <i>
      <x v="1"/>
    </i>
    <i>
      <x v="4"/>
    </i>
    <i>
      <x/>
    </i>
    <i t="grand">
      <x/>
    </i>
  </rowItems>
  <colItems count="1">
    <i/>
  </colItems>
  <dataFields count="1">
    <dataField name="Average of Stock Efficiency" fld="15" subtotal="average" baseField="3" baseItem="3"/>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E3B62D6-15F2-4454-AFE3-261A02391D33}"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9:C45" firstHeaderRow="1" firstDataRow="1" firstDataCol="1"/>
  <pivotFields count="16">
    <pivotField numFmtId="14" showAll="0"/>
    <pivotField showAll="0"/>
    <pivotField showAll="0"/>
    <pivotField showAll="0">
      <items count="6">
        <item x="4"/>
        <item x="2"/>
        <item x="3"/>
        <item x="0"/>
        <item x="1"/>
        <item t="default"/>
      </items>
    </pivotField>
    <pivotField showAll="0">
      <items count="5">
        <item x="3"/>
        <item x="0"/>
        <item x="1"/>
        <item x="2"/>
        <item t="default"/>
      </items>
    </pivotField>
    <pivotField numFmtId="1" showAll="0"/>
    <pivotField dataField="1" numFmtId="1" showAll="0"/>
    <pivotField numFmtId="1" showAll="0"/>
    <pivotField numFmtId="164" showAll="0"/>
    <pivotField numFmtId="164" showAll="0"/>
    <pivotField axis="axisRow" numFmtId="1" showAll="0">
      <items count="6">
        <item x="2"/>
        <item x="3"/>
        <item x="1"/>
        <item x="4"/>
        <item x="0"/>
        <item t="default"/>
      </items>
    </pivotField>
    <pivotField showAll="0">
      <items count="5">
        <item x="2"/>
        <item x="0"/>
        <item x="3"/>
        <item x="1"/>
        <item t="default"/>
      </items>
    </pivotField>
    <pivotField showAll="0">
      <items count="3">
        <item x="0"/>
        <item x="1"/>
        <item t="default"/>
      </items>
    </pivotField>
    <pivotField numFmtId="164" showAll="0"/>
    <pivotField showAll="0"/>
    <pivotField showAll="0"/>
  </pivotFields>
  <rowFields count="1">
    <field x="10"/>
  </rowFields>
  <rowItems count="6">
    <i>
      <x/>
    </i>
    <i>
      <x v="1"/>
    </i>
    <i>
      <x v="2"/>
    </i>
    <i>
      <x v="3"/>
    </i>
    <i>
      <x v="4"/>
    </i>
    <i t="grand">
      <x/>
    </i>
  </rowItems>
  <colItems count="1">
    <i/>
  </colItems>
  <dataFields count="1">
    <dataField name="Sum of Units Sold" fld="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5B01450-53AA-4B56-868A-4D846233A6F9}" sourceName="Category">
  <pivotTables>
    <pivotTable tabId="5" name="PivotTable1"/>
    <pivotTable tabId="5" name="PivotTable10"/>
    <pivotTable tabId="5" name="PivotTable11"/>
    <pivotTable tabId="5" name="PivotTable12"/>
    <pivotTable tabId="5" name="PivotTable13"/>
    <pivotTable tabId="5" name="PivotTable2"/>
    <pivotTable tabId="5" name="PivotTable3"/>
  </pivotTables>
  <data>
    <tabular pivotCacheId="490802284">
      <items count="5">
        <i x="4" s="1"/>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14CD84-0596-4FB3-A8C6-D0A0BFE56455}" sourceName="Region">
  <pivotTables>
    <pivotTable tabId="5" name="PivotTable1"/>
    <pivotTable tabId="5" name="PivotTable10"/>
    <pivotTable tabId="5" name="PivotTable11"/>
    <pivotTable tabId="5" name="PivotTable12"/>
    <pivotTable tabId="5" name="PivotTable13"/>
    <pivotTable tabId="5" name="PivotTable2"/>
    <pivotTable tabId="5" name="PivotTable3"/>
  </pivotTables>
  <data>
    <tabular pivotCacheId="490802284">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FDB3ABF-3157-41C1-8544-1A6E7A4AF6B0}" cache="Slicer_Category" caption="Category" rowHeight="234950"/>
  <slicer name="Region" xr10:uid="{C7605C8D-D2CC-4FDC-B16E-025974EDA784}"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194966-40BC-48CB-BA5A-1C87C91F362F}" name="Table1" displayName="Table1" ref="A1:Q501" totalsRowShown="0" tableBorderDxfId="59">
  <autoFilter ref="A1:Q501" xr:uid="{4C194966-40BC-48CB-BA5A-1C87C91F362F}"/>
  <tableColumns count="17">
    <tableColumn id="1" xr3:uid="{DD74F94D-9D18-4265-B7F4-3C8550EACF3D}" name="Date" dataDxfId="58"/>
    <tableColumn id="2" xr3:uid="{72DADFDB-BD46-4173-AA96-D7A4FA4D6996}" name="Store ID" dataDxfId="57"/>
    <tableColumn id="3" xr3:uid="{93AF397D-1EA0-4B38-B378-9CD48C7A8746}" name="Product ID" dataDxfId="56"/>
    <tableColumn id="4" xr3:uid="{ED720A12-2ADA-4FF1-BED6-61BE1AC6BE0A}" name="Category" dataDxfId="55"/>
    <tableColumn id="5" xr3:uid="{6FDD1DB4-FE42-473A-91F7-0A9A621EDC7B}" name="Region" dataDxfId="54"/>
    <tableColumn id="6" xr3:uid="{88CB78F7-3F6B-4ECB-89A1-944FB8D6515A}" name="Inventory Level" dataDxfId="53"/>
    <tableColumn id="7" xr3:uid="{B6DCA5B4-7B5C-49EA-88C0-354A676C4B60}" name="Units Sold" dataDxfId="52"/>
    <tableColumn id="8" xr3:uid="{3F9BF0CF-A2A5-4DF8-BD4A-47B9A4C356A2}" name="Units Ordered" dataDxfId="51"/>
    <tableColumn id="9" xr3:uid="{276D6F91-55F9-438D-B5AF-20417D038A6B}" name="Demand Forecast" dataDxfId="50"/>
    <tableColumn id="10" xr3:uid="{C86520C6-60A0-4127-B47B-15C9AB61A033}" name="Price" dataDxfId="49"/>
    <tableColumn id="11" xr3:uid="{E991CC4D-AA32-4452-9DCA-B252FA77CAC3}" name="Discount" dataDxfId="48"/>
    <tableColumn id="12" xr3:uid="{74E33C3B-E340-4E17-BEB5-307D7B276713}" name="Weather Condition" dataDxfId="47"/>
    <tableColumn id="13" xr3:uid="{E925D042-269D-4839-ABEF-5A2EFB3BA29F}" name="Holiday/Promotion" dataDxfId="46"/>
    <tableColumn id="14" xr3:uid="{F0944E87-6259-4EC9-9AFA-169FB62FD35B}" name="Competitor Pricing" dataDxfId="45"/>
    <tableColumn id="15" xr3:uid="{ECAE96A7-5414-4229-A278-B82A198E8735}" name="Seasonality" dataDxfId="44"/>
    <tableColumn id="16" xr3:uid="{AF0EF753-3DF7-4D0F-ADA1-6377369A19FA}" name="Stock Efficiency" dataDxfId="43">
      <calculatedColumnFormula>G2/F2</calculatedColumnFormula>
    </tableColumn>
    <tableColumn id="17" xr3:uid="{E67C6572-306C-4547-A6F9-859F8C57E98B}" name="Price Difference" dataDxfId="42">
      <calculatedColumnFormula>Table1[[#This Row],[Price]]-Table1[[#This Row],[Competitor Pricing]]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0691E-F04E-479E-AAD5-3064AD5EF367}">
  <dimension ref="A1:Q501"/>
  <sheetViews>
    <sheetView zoomScale="81" zoomScaleNormal="81" workbookViewId="0">
      <selection activeCell="R11" sqref="R11"/>
    </sheetView>
  </sheetViews>
  <sheetFormatPr defaultRowHeight="14.4" x14ac:dyDescent="0.3"/>
  <cols>
    <col min="1" max="1" width="9.109375" bestFit="1" customWidth="1"/>
    <col min="2" max="2" width="9.5546875" customWidth="1"/>
    <col min="3" max="3" width="11.77734375" customWidth="1"/>
    <col min="4" max="4" width="10.5546875" customWidth="1"/>
    <col min="5" max="5" width="8.6640625" customWidth="1"/>
    <col min="6" max="6" width="15.88671875" customWidth="1"/>
    <col min="7" max="7" width="11.33203125" customWidth="1"/>
    <col min="8" max="8" width="14.5546875" customWidth="1"/>
    <col min="9" max="9" width="17.44140625" customWidth="1"/>
    <col min="10" max="10" width="7" customWidth="1"/>
    <col min="11" max="11" width="10.21875" customWidth="1"/>
    <col min="12" max="12" width="18.77734375" customWidth="1"/>
    <col min="13" max="13" width="19.109375" customWidth="1"/>
    <col min="14" max="14" width="18.5546875" customWidth="1"/>
    <col min="15" max="15" width="12.44140625" customWidth="1"/>
    <col min="16" max="16" width="15.6640625" customWidth="1"/>
    <col min="17" max="17" width="16.5546875" bestFit="1" customWidth="1"/>
  </cols>
  <sheetData>
    <row r="1" spans="1:17" x14ac:dyDescent="0.3">
      <c r="A1" s="19" t="s">
        <v>0</v>
      </c>
      <c r="B1" s="1" t="s">
        <v>1</v>
      </c>
      <c r="C1" s="1" t="s">
        <v>2</v>
      </c>
      <c r="D1" s="1" t="s">
        <v>3</v>
      </c>
      <c r="E1" s="1" t="s">
        <v>4</v>
      </c>
      <c r="F1" s="2" t="s">
        <v>5</v>
      </c>
      <c r="G1" s="2" t="s">
        <v>6</v>
      </c>
      <c r="H1" s="2" t="s">
        <v>7</v>
      </c>
      <c r="I1" s="3" t="s">
        <v>8</v>
      </c>
      <c r="J1" s="3" t="s">
        <v>9</v>
      </c>
      <c r="K1" s="2" t="s">
        <v>10</v>
      </c>
      <c r="L1" s="4" t="s">
        <v>11</v>
      </c>
      <c r="M1" s="1" t="s">
        <v>12</v>
      </c>
      <c r="N1" s="3" t="s">
        <v>13</v>
      </c>
      <c r="O1" s="5" t="s">
        <v>14</v>
      </c>
      <c r="P1" s="23" t="s">
        <v>106</v>
      </c>
      <c r="Q1" s="23" t="s">
        <v>110</v>
      </c>
    </row>
    <row r="2" spans="1:17" x14ac:dyDescent="0.3">
      <c r="A2" s="20">
        <v>44562</v>
      </c>
      <c r="B2" s="6" t="s">
        <v>15</v>
      </c>
      <c r="C2" s="6" t="s">
        <v>16</v>
      </c>
      <c r="D2" s="6" t="s">
        <v>17</v>
      </c>
      <c r="E2" s="6" t="s">
        <v>18</v>
      </c>
      <c r="F2" s="7">
        <v>231</v>
      </c>
      <c r="G2" s="7">
        <v>127</v>
      </c>
      <c r="H2" s="7">
        <v>55</v>
      </c>
      <c r="I2" s="8">
        <v>135.47</v>
      </c>
      <c r="J2" s="8">
        <v>33.5</v>
      </c>
      <c r="K2" s="7">
        <v>20</v>
      </c>
      <c r="L2" s="6" t="s">
        <v>19</v>
      </c>
      <c r="M2" s="6">
        <v>0</v>
      </c>
      <c r="N2" s="8">
        <v>29.69</v>
      </c>
      <c r="O2" s="25" t="s">
        <v>20</v>
      </c>
      <c r="P2" s="14">
        <f>G2/F2</f>
        <v>0.54978354978354982</v>
      </c>
      <c r="Q2" s="17">
        <f>Table1[[#This Row],[Price]]-Table1[[#This Row],[Competitor Pricing]]</f>
        <v>3.8099999999999987</v>
      </c>
    </row>
    <row r="3" spans="1:17" x14ac:dyDescent="0.3">
      <c r="A3" s="21">
        <v>44562</v>
      </c>
      <c r="B3" s="9" t="s">
        <v>15</v>
      </c>
      <c r="C3" s="9" t="s">
        <v>21</v>
      </c>
      <c r="D3" s="9" t="s">
        <v>22</v>
      </c>
      <c r="E3" s="9" t="s">
        <v>23</v>
      </c>
      <c r="F3" s="10">
        <v>204</v>
      </c>
      <c r="G3" s="10">
        <v>150</v>
      </c>
      <c r="H3" s="10">
        <v>66</v>
      </c>
      <c r="I3" s="11">
        <v>144.04</v>
      </c>
      <c r="J3" s="11">
        <v>63.01</v>
      </c>
      <c r="K3" s="10">
        <v>20</v>
      </c>
      <c r="L3" s="9" t="s">
        <v>24</v>
      </c>
      <c r="M3" s="9">
        <v>0</v>
      </c>
      <c r="N3" s="11">
        <v>66.16</v>
      </c>
      <c r="O3" s="26" t="s">
        <v>20</v>
      </c>
      <c r="P3" s="14">
        <f t="shared" ref="P3:P66" si="0">G3/F3</f>
        <v>0.73529411764705888</v>
      </c>
      <c r="Q3" s="17">
        <f>Table1[[#This Row],[Price]]-Table1[[#This Row],[Competitor Pricing]]</f>
        <v>-3.1499999999999986</v>
      </c>
    </row>
    <row r="4" spans="1:17" x14ac:dyDescent="0.3">
      <c r="A4" s="20">
        <v>44562</v>
      </c>
      <c r="B4" s="6" t="s">
        <v>15</v>
      </c>
      <c r="C4" s="6" t="s">
        <v>25</v>
      </c>
      <c r="D4" s="6" t="s">
        <v>22</v>
      </c>
      <c r="E4" s="6" t="s">
        <v>26</v>
      </c>
      <c r="F4" s="7">
        <v>102</v>
      </c>
      <c r="G4" s="7">
        <v>65</v>
      </c>
      <c r="H4" s="7">
        <v>51</v>
      </c>
      <c r="I4" s="8">
        <v>74.02</v>
      </c>
      <c r="J4" s="8">
        <v>27.99</v>
      </c>
      <c r="K4" s="7">
        <v>10</v>
      </c>
      <c r="L4" s="6" t="s">
        <v>24</v>
      </c>
      <c r="M4" s="6">
        <v>1</v>
      </c>
      <c r="N4" s="8">
        <v>31.32</v>
      </c>
      <c r="O4" s="25" t="s">
        <v>27</v>
      </c>
      <c r="P4" s="14">
        <f t="shared" si="0"/>
        <v>0.63725490196078427</v>
      </c>
      <c r="Q4" s="17">
        <f>Table1[[#This Row],[Price]]-Table1[[#This Row],[Competitor Pricing]]</f>
        <v>-3.3300000000000018</v>
      </c>
    </row>
    <row r="5" spans="1:17" x14ac:dyDescent="0.3">
      <c r="A5" s="21">
        <v>44562</v>
      </c>
      <c r="B5" s="9" t="s">
        <v>15</v>
      </c>
      <c r="C5" s="9" t="s">
        <v>28</v>
      </c>
      <c r="D5" s="9" t="s">
        <v>22</v>
      </c>
      <c r="E5" s="9" t="s">
        <v>18</v>
      </c>
      <c r="F5" s="10">
        <v>469</v>
      </c>
      <c r="G5" s="10">
        <v>61</v>
      </c>
      <c r="H5" s="10">
        <v>164</v>
      </c>
      <c r="I5" s="11">
        <v>62.18</v>
      </c>
      <c r="J5" s="11">
        <v>32.72</v>
      </c>
      <c r="K5" s="10">
        <v>10</v>
      </c>
      <c r="L5" s="9" t="s">
        <v>29</v>
      </c>
      <c r="M5" s="9">
        <v>1</v>
      </c>
      <c r="N5" s="11">
        <v>34.74</v>
      </c>
      <c r="O5" s="26" t="s">
        <v>20</v>
      </c>
      <c r="P5" s="14">
        <f t="shared" si="0"/>
        <v>0.13006396588486141</v>
      </c>
      <c r="Q5" s="17">
        <f>Table1[[#This Row],[Price]]-Table1[[#This Row],[Competitor Pricing]]</f>
        <v>-2.0200000000000031</v>
      </c>
    </row>
    <row r="6" spans="1:17" x14ac:dyDescent="0.3">
      <c r="A6" s="20">
        <v>44562</v>
      </c>
      <c r="B6" s="6" t="s">
        <v>15</v>
      </c>
      <c r="C6" s="6" t="s">
        <v>30</v>
      </c>
      <c r="D6" s="6" t="s">
        <v>31</v>
      </c>
      <c r="E6" s="6" t="s">
        <v>32</v>
      </c>
      <c r="F6" s="7">
        <v>166</v>
      </c>
      <c r="G6" s="7">
        <v>14</v>
      </c>
      <c r="H6" s="7">
        <v>135</v>
      </c>
      <c r="I6" s="8">
        <v>9.26</v>
      </c>
      <c r="J6" s="8">
        <v>73.64</v>
      </c>
      <c r="K6" s="7">
        <v>0</v>
      </c>
      <c r="L6" s="6" t="s">
        <v>24</v>
      </c>
      <c r="M6" s="6">
        <v>0</v>
      </c>
      <c r="N6" s="8">
        <v>68.95</v>
      </c>
      <c r="O6" s="25" t="s">
        <v>27</v>
      </c>
      <c r="P6" s="14">
        <f t="shared" si="0"/>
        <v>8.4337349397590355E-2</v>
      </c>
      <c r="Q6" s="17">
        <f>Table1[[#This Row],[Price]]-Table1[[#This Row],[Competitor Pricing]]</f>
        <v>4.6899999999999977</v>
      </c>
    </row>
    <row r="7" spans="1:17" x14ac:dyDescent="0.3">
      <c r="A7" s="21">
        <v>44562</v>
      </c>
      <c r="B7" s="9" t="s">
        <v>15</v>
      </c>
      <c r="C7" s="9" t="s">
        <v>33</v>
      </c>
      <c r="D7" s="9" t="s">
        <v>17</v>
      </c>
      <c r="E7" s="9" t="s">
        <v>23</v>
      </c>
      <c r="F7" s="10">
        <v>138</v>
      </c>
      <c r="G7" s="10">
        <v>128</v>
      </c>
      <c r="H7" s="10">
        <v>102</v>
      </c>
      <c r="I7" s="11">
        <v>139.82</v>
      </c>
      <c r="J7" s="11">
        <v>76.83</v>
      </c>
      <c r="K7" s="10">
        <v>10</v>
      </c>
      <c r="L7" s="9" t="s">
        <v>24</v>
      </c>
      <c r="M7" s="9">
        <v>1</v>
      </c>
      <c r="N7" s="11">
        <v>79.349999999999994</v>
      </c>
      <c r="O7" s="26" t="s">
        <v>34</v>
      </c>
      <c r="P7" s="14">
        <f t="shared" si="0"/>
        <v>0.92753623188405798</v>
      </c>
      <c r="Q7" s="17">
        <f>Table1[[#This Row],[Price]]-Table1[[#This Row],[Competitor Pricing]]</f>
        <v>-2.519999999999996</v>
      </c>
    </row>
    <row r="8" spans="1:17" x14ac:dyDescent="0.3">
      <c r="A8" s="20">
        <v>44562</v>
      </c>
      <c r="B8" s="6" t="s">
        <v>15</v>
      </c>
      <c r="C8" s="6" t="s">
        <v>35</v>
      </c>
      <c r="D8" s="6" t="s">
        <v>36</v>
      </c>
      <c r="E8" s="6" t="s">
        <v>32</v>
      </c>
      <c r="F8" s="7">
        <v>359</v>
      </c>
      <c r="G8" s="7">
        <v>97</v>
      </c>
      <c r="H8" s="7">
        <v>167</v>
      </c>
      <c r="I8" s="8">
        <v>108.92</v>
      </c>
      <c r="J8" s="8">
        <v>34.159999999999997</v>
      </c>
      <c r="K8" s="7">
        <v>10</v>
      </c>
      <c r="L8" s="6" t="s">
        <v>19</v>
      </c>
      <c r="M8" s="6">
        <v>1</v>
      </c>
      <c r="N8" s="8">
        <v>36.549999999999997</v>
      </c>
      <c r="O8" s="25" t="s">
        <v>34</v>
      </c>
      <c r="P8" s="14">
        <f t="shared" si="0"/>
        <v>0.27019498607242337</v>
      </c>
      <c r="Q8" s="17">
        <f>Table1[[#This Row],[Price]]-Table1[[#This Row],[Competitor Pricing]]</f>
        <v>-2.3900000000000006</v>
      </c>
    </row>
    <row r="9" spans="1:17" x14ac:dyDescent="0.3">
      <c r="A9" s="21">
        <v>44562</v>
      </c>
      <c r="B9" s="9" t="s">
        <v>15</v>
      </c>
      <c r="C9" s="9" t="s">
        <v>37</v>
      </c>
      <c r="D9" s="9" t="s">
        <v>38</v>
      </c>
      <c r="E9" s="9" t="s">
        <v>18</v>
      </c>
      <c r="F9" s="10">
        <v>380</v>
      </c>
      <c r="G9" s="10">
        <v>312</v>
      </c>
      <c r="H9" s="10">
        <v>54</v>
      </c>
      <c r="I9" s="11">
        <v>329.73</v>
      </c>
      <c r="J9" s="11">
        <v>97.99</v>
      </c>
      <c r="K9" s="10">
        <v>5</v>
      </c>
      <c r="L9" s="9" t="s">
        <v>29</v>
      </c>
      <c r="M9" s="9">
        <v>0</v>
      </c>
      <c r="N9" s="11">
        <v>100.09</v>
      </c>
      <c r="O9" s="26" t="s">
        <v>39</v>
      </c>
      <c r="P9" s="14">
        <f t="shared" si="0"/>
        <v>0.82105263157894737</v>
      </c>
      <c r="Q9" s="17">
        <f>Table1[[#This Row],[Price]]-Table1[[#This Row],[Competitor Pricing]]</f>
        <v>-2.1000000000000085</v>
      </c>
    </row>
    <row r="10" spans="1:17" x14ac:dyDescent="0.3">
      <c r="A10" s="20">
        <v>44562</v>
      </c>
      <c r="B10" s="6" t="s">
        <v>15</v>
      </c>
      <c r="C10" s="6" t="s">
        <v>40</v>
      </c>
      <c r="D10" s="6" t="s">
        <v>31</v>
      </c>
      <c r="E10" s="6" t="s">
        <v>26</v>
      </c>
      <c r="F10" s="7">
        <v>183</v>
      </c>
      <c r="G10" s="7">
        <v>175</v>
      </c>
      <c r="H10" s="7">
        <v>135</v>
      </c>
      <c r="I10" s="8">
        <v>174.15</v>
      </c>
      <c r="J10" s="8">
        <v>20.74</v>
      </c>
      <c r="K10" s="7">
        <v>10</v>
      </c>
      <c r="L10" s="6" t="s">
        <v>29</v>
      </c>
      <c r="M10" s="6">
        <v>0</v>
      </c>
      <c r="N10" s="8">
        <v>17.66</v>
      </c>
      <c r="O10" s="25" t="s">
        <v>20</v>
      </c>
      <c r="P10" s="14">
        <f t="shared" si="0"/>
        <v>0.95628415300546443</v>
      </c>
      <c r="Q10" s="17">
        <f>Table1[[#This Row],[Price]]-Table1[[#This Row],[Competitor Pricing]]</f>
        <v>3.0799999999999983</v>
      </c>
    </row>
    <row r="11" spans="1:17" x14ac:dyDescent="0.3">
      <c r="A11" s="21">
        <v>44562</v>
      </c>
      <c r="B11" s="9" t="s">
        <v>15</v>
      </c>
      <c r="C11" s="9" t="s">
        <v>41</v>
      </c>
      <c r="D11" s="9" t="s">
        <v>22</v>
      </c>
      <c r="E11" s="9" t="s">
        <v>23</v>
      </c>
      <c r="F11" s="10">
        <v>108</v>
      </c>
      <c r="G11" s="10">
        <v>28</v>
      </c>
      <c r="H11" s="10">
        <v>196</v>
      </c>
      <c r="I11" s="11">
        <v>24.47</v>
      </c>
      <c r="J11" s="11">
        <v>59.99</v>
      </c>
      <c r="K11" s="10">
        <v>0</v>
      </c>
      <c r="L11" s="9" t="s">
        <v>19</v>
      </c>
      <c r="M11" s="9">
        <v>1</v>
      </c>
      <c r="N11" s="11">
        <v>61.21</v>
      </c>
      <c r="O11" s="26" t="s">
        <v>34</v>
      </c>
      <c r="P11" s="14">
        <f t="shared" si="0"/>
        <v>0.25925925925925924</v>
      </c>
      <c r="Q11" s="17">
        <f>Table1[[#This Row],[Price]]-Table1[[#This Row],[Competitor Pricing]]</f>
        <v>-1.2199999999999989</v>
      </c>
    </row>
    <row r="12" spans="1:17" x14ac:dyDescent="0.3">
      <c r="A12" s="20">
        <v>44562</v>
      </c>
      <c r="B12" s="6" t="s">
        <v>15</v>
      </c>
      <c r="C12" s="6" t="s">
        <v>42</v>
      </c>
      <c r="D12" s="6" t="s">
        <v>36</v>
      </c>
      <c r="E12" s="6" t="s">
        <v>23</v>
      </c>
      <c r="F12" s="7">
        <v>258</v>
      </c>
      <c r="G12" s="7">
        <v>150</v>
      </c>
      <c r="H12" s="7">
        <v>153</v>
      </c>
      <c r="I12" s="8">
        <v>152.74</v>
      </c>
      <c r="J12" s="8">
        <v>58.53</v>
      </c>
      <c r="K12" s="7">
        <v>10</v>
      </c>
      <c r="L12" s="6" t="s">
        <v>24</v>
      </c>
      <c r="M12" s="6">
        <v>1</v>
      </c>
      <c r="N12" s="8">
        <v>61.42</v>
      </c>
      <c r="O12" s="25" t="s">
        <v>39</v>
      </c>
      <c r="P12" s="14">
        <f t="shared" si="0"/>
        <v>0.58139534883720934</v>
      </c>
      <c r="Q12" s="17">
        <f>Table1[[#This Row],[Price]]-Table1[[#This Row],[Competitor Pricing]]</f>
        <v>-2.8900000000000006</v>
      </c>
    </row>
    <row r="13" spans="1:17" x14ac:dyDescent="0.3">
      <c r="A13" s="21">
        <v>44562</v>
      </c>
      <c r="B13" s="9" t="s">
        <v>15</v>
      </c>
      <c r="C13" s="9" t="s">
        <v>43</v>
      </c>
      <c r="D13" s="9" t="s">
        <v>38</v>
      </c>
      <c r="E13" s="9" t="s">
        <v>26</v>
      </c>
      <c r="F13" s="10">
        <v>66</v>
      </c>
      <c r="G13" s="10">
        <v>24</v>
      </c>
      <c r="H13" s="10">
        <v>70</v>
      </c>
      <c r="I13" s="11">
        <v>26.75</v>
      </c>
      <c r="J13" s="11">
        <v>58.25</v>
      </c>
      <c r="K13" s="10">
        <v>20</v>
      </c>
      <c r="L13" s="9" t="s">
        <v>44</v>
      </c>
      <c r="M13" s="9">
        <v>0</v>
      </c>
      <c r="N13" s="11">
        <v>62.21</v>
      </c>
      <c r="O13" s="26" t="s">
        <v>39</v>
      </c>
      <c r="P13" s="14">
        <f t="shared" si="0"/>
        <v>0.36363636363636365</v>
      </c>
      <c r="Q13" s="17">
        <f>Table1[[#This Row],[Price]]-Table1[[#This Row],[Competitor Pricing]]</f>
        <v>-3.9600000000000009</v>
      </c>
    </row>
    <row r="14" spans="1:17" x14ac:dyDescent="0.3">
      <c r="A14" s="20">
        <v>44562</v>
      </c>
      <c r="B14" s="6" t="s">
        <v>15</v>
      </c>
      <c r="C14" s="6" t="s">
        <v>45</v>
      </c>
      <c r="D14" s="6" t="s">
        <v>22</v>
      </c>
      <c r="E14" s="6" t="s">
        <v>23</v>
      </c>
      <c r="F14" s="7">
        <v>96</v>
      </c>
      <c r="G14" s="7">
        <v>42</v>
      </c>
      <c r="H14" s="7">
        <v>85</v>
      </c>
      <c r="I14" s="8">
        <v>41.46</v>
      </c>
      <c r="J14" s="8">
        <v>43.6</v>
      </c>
      <c r="K14" s="7">
        <v>0</v>
      </c>
      <c r="L14" s="6" t="s">
        <v>29</v>
      </c>
      <c r="M14" s="6">
        <v>0</v>
      </c>
      <c r="N14" s="8">
        <v>46.31</v>
      </c>
      <c r="O14" s="25" t="s">
        <v>39</v>
      </c>
      <c r="P14" s="14">
        <f t="shared" si="0"/>
        <v>0.4375</v>
      </c>
      <c r="Q14" s="17">
        <f>Table1[[#This Row],[Price]]-Table1[[#This Row],[Competitor Pricing]]</f>
        <v>-2.7100000000000009</v>
      </c>
    </row>
    <row r="15" spans="1:17" x14ac:dyDescent="0.3">
      <c r="A15" s="21">
        <v>44562</v>
      </c>
      <c r="B15" s="9" t="s">
        <v>15</v>
      </c>
      <c r="C15" s="9" t="s">
        <v>46</v>
      </c>
      <c r="D15" s="9" t="s">
        <v>38</v>
      </c>
      <c r="E15" s="9" t="s">
        <v>26</v>
      </c>
      <c r="F15" s="10">
        <v>193</v>
      </c>
      <c r="G15" s="10">
        <v>12</v>
      </c>
      <c r="H15" s="10">
        <v>187</v>
      </c>
      <c r="I15" s="11">
        <v>6.8</v>
      </c>
      <c r="J15" s="11">
        <v>78.11</v>
      </c>
      <c r="K15" s="10">
        <v>0</v>
      </c>
      <c r="L15" s="9" t="s">
        <v>24</v>
      </c>
      <c r="M15" s="9">
        <v>0</v>
      </c>
      <c r="N15" s="11">
        <v>80.06</v>
      </c>
      <c r="O15" s="26" t="s">
        <v>39</v>
      </c>
      <c r="P15" s="14">
        <f t="shared" si="0"/>
        <v>6.2176165803108807E-2</v>
      </c>
      <c r="Q15" s="17">
        <f>Table1[[#This Row],[Price]]-Table1[[#This Row],[Competitor Pricing]]</f>
        <v>-1.9500000000000028</v>
      </c>
    </row>
    <row r="16" spans="1:17" x14ac:dyDescent="0.3">
      <c r="A16" s="20">
        <v>44562</v>
      </c>
      <c r="B16" s="6" t="s">
        <v>15</v>
      </c>
      <c r="C16" s="6" t="s">
        <v>47</v>
      </c>
      <c r="D16" s="6" t="s">
        <v>38</v>
      </c>
      <c r="E16" s="6" t="s">
        <v>18</v>
      </c>
      <c r="F16" s="7">
        <v>379</v>
      </c>
      <c r="G16" s="7">
        <v>369</v>
      </c>
      <c r="H16" s="7">
        <v>154</v>
      </c>
      <c r="I16" s="8">
        <v>363.46</v>
      </c>
      <c r="J16" s="8">
        <v>92.99</v>
      </c>
      <c r="K16" s="7">
        <v>15</v>
      </c>
      <c r="L16" s="6" t="s">
        <v>44</v>
      </c>
      <c r="M16" s="6">
        <v>0</v>
      </c>
      <c r="N16" s="8">
        <v>95.8</v>
      </c>
      <c r="O16" s="25" t="s">
        <v>34</v>
      </c>
      <c r="P16" s="14">
        <f t="shared" si="0"/>
        <v>0.97361477572559363</v>
      </c>
      <c r="Q16" s="17">
        <f>Table1[[#This Row],[Price]]-Table1[[#This Row],[Competitor Pricing]]</f>
        <v>-2.8100000000000023</v>
      </c>
    </row>
    <row r="17" spans="1:17" x14ac:dyDescent="0.3">
      <c r="A17" s="21">
        <v>44562</v>
      </c>
      <c r="B17" s="9" t="s">
        <v>15</v>
      </c>
      <c r="C17" s="9" t="s">
        <v>48</v>
      </c>
      <c r="D17" s="9" t="s">
        <v>31</v>
      </c>
      <c r="E17" s="9" t="s">
        <v>18</v>
      </c>
      <c r="F17" s="10">
        <v>363</v>
      </c>
      <c r="G17" s="10">
        <v>255</v>
      </c>
      <c r="H17" s="10">
        <v>69</v>
      </c>
      <c r="I17" s="11">
        <v>255.74</v>
      </c>
      <c r="J17" s="11">
        <v>21.9</v>
      </c>
      <c r="K17" s="10">
        <v>5</v>
      </c>
      <c r="L17" s="9" t="s">
        <v>29</v>
      </c>
      <c r="M17" s="9">
        <v>1</v>
      </c>
      <c r="N17" s="11">
        <v>20.27</v>
      </c>
      <c r="O17" s="26" t="s">
        <v>20</v>
      </c>
      <c r="P17" s="14">
        <f t="shared" si="0"/>
        <v>0.7024793388429752</v>
      </c>
      <c r="Q17" s="17">
        <f>Table1[[#This Row],[Price]]-Table1[[#This Row],[Competitor Pricing]]</f>
        <v>1.629999999999999</v>
      </c>
    </row>
    <row r="18" spans="1:17" x14ac:dyDescent="0.3">
      <c r="A18" s="20">
        <v>44562</v>
      </c>
      <c r="B18" s="6" t="s">
        <v>15</v>
      </c>
      <c r="C18" s="6" t="s">
        <v>49</v>
      </c>
      <c r="D18" s="6" t="s">
        <v>22</v>
      </c>
      <c r="E18" s="6" t="s">
        <v>26</v>
      </c>
      <c r="F18" s="7">
        <v>318</v>
      </c>
      <c r="G18" s="7">
        <v>246</v>
      </c>
      <c r="H18" s="7">
        <v>177</v>
      </c>
      <c r="I18" s="8">
        <v>255.37</v>
      </c>
      <c r="J18" s="8">
        <v>21.07</v>
      </c>
      <c r="K18" s="7">
        <v>20</v>
      </c>
      <c r="L18" s="6" t="s">
        <v>24</v>
      </c>
      <c r="M18" s="6">
        <v>0</v>
      </c>
      <c r="N18" s="8">
        <v>16.489999999999998</v>
      </c>
      <c r="O18" s="25" t="s">
        <v>34</v>
      </c>
      <c r="P18" s="14">
        <f t="shared" si="0"/>
        <v>0.77358490566037741</v>
      </c>
      <c r="Q18" s="17">
        <f>Table1[[#This Row],[Price]]-Table1[[#This Row],[Competitor Pricing]]</f>
        <v>4.5800000000000018</v>
      </c>
    </row>
    <row r="19" spans="1:17" x14ac:dyDescent="0.3">
      <c r="A19" s="21">
        <v>44562</v>
      </c>
      <c r="B19" s="9" t="s">
        <v>15</v>
      </c>
      <c r="C19" s="9" t="s">
        <v>50</v>
      </c>
      <c r="D19" s="9" t="s">
        <v>38</v>
      </c>
      <c r="E19" s="9" t="s">
        <v>23</v>
      </c>
      <c r="F19" s="10">
        <v>241</v>
      </c>
      <c r="G19" s="10">
        <v>151</v>
      </c>
      <c r="H19" s="10">
        <v>47</v>
      </c>
      <c r="I19" s="11">
        <v>147.27000000000001</v>
      </c>
      <c r="J19" s="11">
        <v>19.57</v>
      </c>
      <c r="K19" s="10">
        <v>5</v>
      </c>
      <c r="L19" s="9" t="s">
        <v>29</v>
      </c>
      <c r="M19" s="9">
        <v>0</v>
      </c>
      <c r="N19" s="11">
        <v>23.13</v>
      </c>
      <c r="O19" s="26" t="s">
        <v>20</v>
      </c>
      <c r="P19" s="14">
        <f t="shared" si="0"/>
        <v>0.62655601659751037</v>
      </c>
      <c r="Q19" s="17">
        <f>Table1[[#This Row],[Price]]-Table1[[#This Row],[Competitor Pricing]]</f>
        <v>-3.5599999999999987</v>
      </c>
    </row>
    <row r="20" spans="1:17" x14ac:dyDescent="0.3">
      <c r="A20" s="20">
        <v>44562</v>
      </c>
      <c r="B20" s="6" t="s">
        <v>15</v>
      </c>
      <c r="C20" s="6" t="s">
        <v>51</v>
      </c>
      <c r="D20" s="6" t="s">
        <v>38</v>
      </c>
      <c r="E20" s="6" t="s">
        <v>32</v>
      </c>
      <c r="F20" s="7">
        <v>352</v>
      </c>
      <c r="G20" s="7">
        <v>257</v>
      </c>
      <c r="H20" s="7">
        <v>186</v>
      </c>
      <c r="I20" s="8">
        <v>267.38</v>
      </c>
      <c r="J20" s="8">
        <v>73.28</v>
      </c>
      <c r="K20" s="7">
        <v>10</v>
      </c>
      <c r="L20" s="6" t="s">
        <v>29</v>
      </c>
      <c r="M20" s="6">
        <v>0</v>
      </c>
      <c r="N20" s="8">
        <v>77.260000000000005</v>
      </c>
      <c r="O20" s="25" t="s">
        <v>34</v>
      </c>
      <c r="P20" s="14">
        <f t="shared" si="0"/>
        <v>0.73011363636363635</v>
      </c>
      <c r="Q20" s="17">
        <f>Table1[[#This Row],[Price]]-Table1[[#This Row],[Competitor Pricing]]</f>
        <v>-3.980000000000004</v>
      </c>
    </row>
    <row r="21" spans="1:17" x14ac:dyDescent="0.3">
      <c r="A21" s="21">
        <v>44562</v>
      </c>
      <c r="B21" s="9" t="s">
        <v>15</v>
      </c>
      <c r="C21" s="9" t="s">
        <v>52</v>
      </c>
      <c r="D21" s="9" t="s">
        <v>22</v>
      </c>
      <c r="E21" s="9" t="s">
        <v>32</v>
      </c>
      <c r="F21" s="10">
        <v>274</v>
      </c>
      <c r="G21" s="10">
        <v>99</v>
      </c>
      <c r="H21" s="10">
        <v>166</v>
      </c>
      <c r="I21" s="11">
        <v>115.23</v>
      </c>
      <c r="J21" s="11">
        <v>30.24</v>
      </c>
      <c r="K21" s="10">
        <v>5</v>
      </c>
      <c r="L21" s="9" t="s">
        <v>29</v>
      </c>
      <c r="M21" s="9">
        <v>0</v>
      </c>
      <c r="N21" s="11">
        <v>27.1</v>
      </c>
      <c r="O21" s="26" t="s">
        <v>39</v>
      </c>
      <c r="P21" s="14">
        <f t="shared" si="0"/>
        <v>0.36131386861313869</v>
      </c>
      <c r="Q21" s="17">
        <f>Table1[[#This Row],[Price]]-Table1[[#This Row],[Competitor Pricing]]</f>
        <v>3.139999999999997</v>
      </c>
    </row>
    <row r="22" spans="1:17" x14ac:dyDescent="0.3">
      <c r="A22" s="20">
        <v>44562</v>
      </c>
      <c r="B22" s="6" t="s">
        <v>53</v>
      </c>
      <c r="C22" s="6" t="s">
        <v>16</v>
      </c>
      <c r="D22" s="6" t="s">
        <v>17</v>
      </c>
      <c r="E22" s="6" t="s">
        <v>23</v>
      </c>
      <c r="F22" s="7">
        <v>343</v>
      </c>
      <c r="G22" s="7">
        <v>104</v>
      </c>
      <c r="H22" s="7">
        <v>144</v>
      </c>
      <c r="I22" s="8">
        <v>112.55</v>
      </c>
      <c r="J22" s="8">
        <v>32.799999999999997</v>
      </c>
      <c r="K22" s="7">
        <v>20</v>
      </c>
      <c r="L22" s="6" t="s">
        <v>24</v>
      </c>
      <c r="M22" s="6">
        <v>1</v>
      </c>
      <c r="N22" s="8">
        <v>30.78</v>
      </c>
      <c r="O22" s="25" t="s">
        <v>39</v>
      </c>
      <c r="P22" s="14">
        <f t="shared" si="0"/>
        <v>0.30320699708454812</v>
      </c>
      <c r="Q22" s="17">
        <f>Table1[[#This Row],[Price]]-Table1[[#This Row],[Competitor Pricing]]</f>
        <v>2.019999999999996</v>
      </c>
    </row>
    <row r="23" spans="1:17" x14ac:dyDescent="0.3">
      <c r="A23" s="21">
        <v>44562</v>
      </c>
      <c r="B23" s="9" t="s">
        <v>53</v>
      </c>
      <c r="C23" s="9" t="s">
        <v>21</v>
      </c>
      <c r="D23" s="9" t="s">
        <v>38</v>
      </c>
      <c r="E23" s="9" t="s">
        <v>26</v>
      </c>
      <c r="F23" s="10">
        <v>373</v>
      </c>
      <c r="G23" s="10">
        <v>141</v>
      </c>
      <c r="H23" s="10">
        <v>151</v>
      </c>
      <c r="I23" s="11">
        <v>135.62</v>
      </c>
      <c r="J23" s="11">
        <v>46.16</v>
      </c>
      <c r="K23" s="10">
        <v>10</v>
      </c>
      <c r="L23" s="9" t="s">
        <v>19</v>
      </c>
      <c r="M23" s="9">
        <v>1</v>
      </c>
      <c r="N23" s="11">
        <v>45.21</v>
      </c>
      <c r="O23" s="26" t="s">
        <v>34</v>
      </c>
      <c r="P23" s="14">
        <f t="shared" si="0"/>
        <v>0.37801608579088469</v>
      </c>
      <c r="Q23" s="17">
        <f>Table1[[#This Row],[Price]]-Table1[[#This Row],[Competitor Pricing]]</f>
        <v>0.94999999999999574</v>
      </c>
    </row>
    <row r="24" spans="1:17" x14ac:dyDescent="0.3">
      <c r="A24" s="20">
        <v>44562</v>
      </c>
      <c r="B24" s="6" t="s">
        <v>53</v>
      </c>
      <c r="C24" s="6" t="s">
        <v>25</v>
      </c>
      <c r="D24" s="6" t="s">
        <v>36</v>
      </c>
      <c r="E24" s="6" t="s">
        <v>32</v>
      </c>
      <c r="F24" s="7">
        <v>445</v>
      </c>
      <c r="G24" s="7">
        <v>182</v>
      </c>
      <c r="H24" s="7">
        <v>119</v>
      </c>
      <c r="I24" s="8">
        <v>176.31</v>
      </c>
      <c r="J24" s="8">
        <v>20.46</v>
      </c>
      <c r="K24" s="7">
        <v>20</v>
      </c>
      <c r="L24" s="6" t="s">
        <v>44</v>
      </c>
      <c r="M24" s="6">
        <v>1</v>
      </c>
      <c r="N24" s="8">
        <v>22</v>
      </c>
      <c r="O24" s="25" t="s">
        <v>39</v>
      </c>
      <c r="P24" s="14">
        <f t="shared" si="0"/>
        <v>0.40898876404494383</v>
      </c>
      <c r="Q24" s="17">
        <f>Table1[[#This Row],[Price]]-Table1[[#This Row],[Competitor Pricing]]</f>
        <v>-1.5399999999999991</v>
      </c>
    </row>
    <row r="25" spans="1:17" x14ac:dyDescent="0.3">
      <c r="A25" s="21">
        <v>44562</v>
      </c>
      <c r="B25" s="9" t="s">
        <v>53</v>
      </c>
      <c r="C25" s="9" t="s">
        <v>28</v>
      </c>
      <c r="D25" s="9" t="s">
        <v>22</v>
      </c>
      <c r="E25" s="9" t="s">
        <v>26</v>
      </c>
      <c r="F25" s="10">
        <v>191</v>
      </c>
      <c r="G25" s="10">
        <v>63</v>
      </c>
      <c r="H25" s="10">
        <v>115</v>
      </c>
      <c r="I25" s="11">
        <v>54.57</v>
      </c>
      <c r="J25" s="11">
        <v>26.19</v>
      </c>
      <c r="K25" s="10">
        <v>0</v>
      </c>
      <c r="L25" s="9" t="s">
        <v>29</v>
      </c>
      <c r="M25" s="9">
        <v>0</v>
      </c>
      <c r="N25" s="11">
        <v>28.06</v>
      </c>
      <c r="O25" s="26" t="s">
        <v>20</v>
      </c>
      <c r="P25" s="14">
        <f t="shared" si="0"/>
        <v>0.32984293193717279</v>
      </c>
      <c r="Q25" s="17">
        <f>Table1[[#This Row],[Price]]-Table1[[#This Row],[Competitor Pricing]]</f>
        <v>-1.8699999999999974</v>
      </c>
    </row>
    <row r="26" spans="1:17" x14ac:dyDescent="0.3">
      <c r="A26" s="20">
        <v>44562</v>
      </c>
      <c r="B26" s="6" t="s">
        <v>53</v>
      </c>
      <c r="C26" s="6" t="s">
        <v>30</v>
      </c>
      <c r="D26" s="6" t="s">
        <v>22</v>
      </c>
      <c r="E26" s="6" t="s">
        <v>26</v>
      </c>
      <c r="F26" s="7">
        <v>281</v>
      </c>
      <c r="G26" s="7">
        <v>156</v>
      </c>
      <c r="H26" s="7">
        <v>25</v>
      </c>
      <c r="I26" s="8">
        <v>150.9</v>
      </c>
      <c r="J26" s="8">
        <v>83.29</v>
      </c>
      <c r="K26" s="7">
        <v>20</v>
      </c>
      <c r="L26" s="6" t="s">
        <v>19</v>
      </c>
      <c r="M26" s="6">
        <v>0</v>
      </c>
      <c r="N26" s="8">
        <v>80.64</v>
      </c>
      <c r="O26" s="25" t="s">
        <v>20</v>
      </c>
      <c r="P26" s="14">
        <f t="shared" si="0"/>
        <v>0.55516014234875444</v>
      </c>
      <c r="Q26" s="17">
        <f>Table1[[#This Row],[Price]]-Table1[[#This Row],[Competitor Pricing]]</f>
        <v>2.6500000000000057</v>
      </c>
    </row>
    <row r="27" spans="1:17" x14ac:dyDescent="0.3">
      <c r="A27" s="21">
        <v>44562</v>
      </c>
      <c r="B27" s="9" t="s">
        <v>53</v>
      </c>
      <c r="C27" s="9" t="s">
        <v>33</v>
      </c>
      <c r="D27" s="9" t="s">
        <v>36</v>
      </c>
      <c r="E27" s="9" t="s">
        <v>18</v>
      </c>
      <c r="F27" s="10">
        <v>492</v>
      </c>
      <c r="G27" s="10">
        <v>250</v>
      </c>
      <c r="H27" s="10">
        <v>168</v>
      </c>
      <c r="I27" s="11">
        <v>242.57</v>
      </c>
      <c r="J27" s="11">
        <v>85.59</v>
      </c>
      <c r="K27" s="10">
        <v>20</v>
      </c>
      <c r="L27" s="9" t="s">
        <v>29</v>
      </c>
      <c r="M27" s="9">
        <v>0</v>
      </c>
      <c r="N27" s="11">
        <v>86.82</v>
      </c>
      <c r="O27" s="26" t="s">
        <v>34</v>
      </c>
      <c r="P27" s="14">
        <f t="shared" si="0"/>
        <v>0.50813008130081305</v>
      </c>
      <c r="Q27" s="17">
        <f>Table1[[#This Row],[Price]]-Table1[[#This Row],[Competitor Pricing]]</f>
        <v>-1.2299999999999898</v>
      </c>
    </row>
    <row r="28" spans="1:17" x14ac:dyDescent="0.3">
      <c r="A28" s="20">
        <v>44562</v>
      </c>
      <c r="B28" s="6" t="s">
        <v>53</v>
      </c>
      <c r="C28" s="6" t="s">
        <v>35</v>
      </c>
      <c r="D28" s="6" t="s">
        <v>17</v>
      </c>
      <c r="E28" s="6" t="s">
        <v>26</v>
      </c>
      <c r="F28" s="7">
        <v>460</v>
      </c>
      <c r="G28" s="7">
        <v>393</v>
      </c>
      <c r="H28" s="7">
        <v>70</v>
      </c>
      <c r="I28" s="8">
        <v>401.48</v>
      </c>
      <c r="J28" s="8">
        <v>91.13</v>
      </c>
      <c r="K28" s="7">
        <v>5</v>
      </c>
      <c r="L28" s="6" t="s">
        <v>24</v>
      </c>
      <c r="M28" s="6">
        <v>0</v>
      </c>
      <c r="N28" s="8">
        <v>93.33</v>
      </c>
      <c r="O28" s="25" t="s">
        <v>27</v>
      </c>
      <c r="P28" s="14">
        <f t="shared" si="0"/>
        <v>0.85434782608695647</v>
      </c>
      <c r="Q28" s="17">
        <f>Table1[[#This Row],[Price]]-Table1[[#This Row],[Competitor Pricing]]</f>
        <v>-2.2000000000000028</v>
      </c>
    </row>
    <row r="29" spans="1:17" x14ac:dyDescent="0.3">
      <c r="A29" s="21">
        <v>44562</v>
      </c>
      <c r="B29" s="9" t="s">
        <v>53</v>
      </c>
      <c r="C29" s="9" t="s">
        <v>37</v>
      </c>
      <c r="D29" s="9" t="s">
        <v>31</v>
      </c>
      <c r="E29" s="9" t="s">
        <v>26</v>
      </c>
      <c r="F29" s="10">
        <v>304</v>
      </c>
      <c r="G29" s="10">
        <v>29</v>
      </c>
      <c r="H29" s="10">
        <v>99</v>
      </c>
      <c r="I29" s="11">
        <v>35.54</v>
      </c>
      <c r="J29" s="11">
        <v>66.959999999999994</v>
      </c>
      <c r="K29" s="10">
        <v>20</v>
      </c>
      <c r="L29" s="9" t="s">
        <v>44</v>
      </c>
      <c r="M29" s="9">
        <v>0</v>
      </c>
      <c r="N29" s="11">
        <v>65.36</v>
      </c>
      <c r="O29" s="26" t="s">
        <v>27</v>
      </c>
      <c r="P29" s="14">
        <f t="shared" si="0"/>
        <v>9.5394736842105268E-2</v>
      </c>
      <c r="Q29" s="17">
        <f>Table1[[#This Row],[Price]]-Table1[[#This Row],[Competitor Pricing]]</f>
        <v>1.5999999999999943</v>
      </c>
    </row>
    <row r="30" spans="1:17" x14ac:dyDescent="0.3">
      <c r="A30" s="20">
        <v>44562</v>
      </c>
      <c r="B30" s="6" t="s">
        <v>53</v>
      </c>
      <c r="C30" s="6" t="s">
        <v>40</v>
      </c>
      <c r="D30" s="6" t="s">
        <v>38</v>
      </c>
      <c r="E30" s="6" t="s">
        <v>23</v>
      </c>
      <c r="F30" s="7">
        <v>113</v>
      </c>
      <c r="G30" s="7">
        <v>9</v>
      </c>
      <c r="H30" s="7">
        <v>84</v>
      </c>
      <c r="I30" s="8">
        <v>14.78</v>
      </c>
      <c r="J30" s="8">
        <v>81.290000000000006</v>
      </c>
      <c r="K30" s="7">
        <v>5</v>
      </c>
      <c r="L30" s="6" t="s">
        <v>19</v>
      </c>
      <c r="M30" s="6">
        <v>1</v>
      </c>
      <c r="N30" s="8">
        <v>82.06</v>
      </c>
      <c r="O30" s="25" t="s">
        <v>34</v>
      </c>
      <c r="P30" s="14">
        <f t="shared" si="0"/>
        <v>7.9646017699115043E-2</v>
      </c>
      <c r="Q30" s="17">
        <f>Table1[[#This Row],[Price]]-Table1[[#This Row],[Competitor Pricing]]</f>
        <v>-0.76999999999999602</v>
      </c>
    </row>
    <row r="31" spans="1:17" x14ac:dyDescent="0.3">
      <c r="A31" s="21">
        <v>44562</v>
      </c>
      <c r="B31" s="9" t="s">
        <v>53</v>
      </c>
      <c r="C31" s="9" t="s">
        <v>41</v>
      </c>
      <c r="D31" s="9" t="s">
        <v>31</v>
      </c>
      <c r="E31" s="9" t="s">
        <v>18</v>
      </c>
      <c r="F31" s="10">
        <v>157</v>
      </c>
      <c r="G31" s="10">
        <v>126</v>
      </c>
      <c r="H31" s="10">
        <v>181</v>
      </c>
      <c r="I31" s="11">
        <v>132.75</v>
      </c>
      <c r="J31" s="11">
        <v>60.84</v>
      </c>
      <c r="K31" s="10">
        <v>0</v>
      </c>
      <c r="L31" s="9" t="s">
        <v>44</v>
      </c>
      <c r="M31" s="9">
        <v>1</v>
      </c>
      <c r="N31" s="11">
        <v>65.22</v>
      </c>
      <c r="O31" s="26" t="s">
        <v>34</v>
      </c>
      <c r="P31" s="14">
        <f t="shared" si="0"/>
        <v>0.80254777070063699</v>
      </c>
      <c r="Q31" s="17">
        <f>Table1[[#This Row],[Price]]-Table1[[#This Row],[Competitor Pricing]]</f>
        <v>-4.3799999999999955</v>
      </c>
    </row>
    <row r="32" spans="1:17" x14ac:dyDescent="0.3">
      <c r="A32" s="20">
        <v>44562</v>
      </c>
      <c r="B32" s="6" t="s">
        <v>53</v>
      </c>
      <c r="C32" s="6" t="s">
        <v>42</v>
      </c>
      <c r="D32" s="6" t="s">
        <v>17</v>
      </c>
      <c r="E32" s="6" t="s">
        <v>26</v>
      </c>
      <c r="F32" s="7">
        <v>67</v>
      </c>
      <c r="G32" s="7">
        <v>13</v>
      </c>
      <c r="H32" s="7">
        <v>33</v>
      </c>
      <c r="I32" s="8">
        <v>7.44</v>
      </c>
      <c r="J32" s="8">
        <v>34.619999999999997</v>
      </c>
      <c r="K32" s="7">
        <v>0</v>
      </c>
      <c r="L32" s="6" t="s">
        <v>44</v>
      </c>
      <c r="M32" s="6">
        <v>1</v>
      </c>
      <c r="N32" s="8">
        <v>33.979999999999997</v>
      </c>
      <c r="O32" s="25" t="s">
        <v>20</v>
      </c>
      <c r="P32" s="14">
        <f t="shared" si="0"/>
        <v>0.19402985074626866</v>
      </c>
      <c r="Q32" s="17">
        <f>Table1[[#This Row],[Price]]-Table1[[#This Row],[Competitor Pricing]]</f>
        <v>0.64000000000000057</v>
      </c>
    </row>
    <row r="33" spans="1:17" x14ac:dyDescent="0.3">
      <c r="A33" s="21">
        <v>44562</v>
      </c>
      <c r="B33" s="9" t="s">
        <v>53</v>
      </c>
      <c r="C33" s="9" t="s">
        <v>43</v>
      </c>
      <c r="D33" s="9" t="s">
        <v>17</v>
      </c>
      <c r="E33" s="9" t="s">
        <v>32</v>
      </c>
      <c r="F33" s="10">
        <v>281</v>
      </c>
      <c r="G33" s="10">
        <v>25</v>
      </c>
      <c r="H33" s="10">
        <v>136</v>
      </c>
      <c r="I33" s="11">
        <v>37.270000000000003</v>
      </c>
      <c r="J33" s="11">
        <v>19.559999999999999</v>
      </c>
      <c r="K33" s="10">
        <v>5</v>
      </c>
      <c r="L33" s="9" t="s">
        <v>19</v>
      </c>
      <c r="M33" s="9">
        <v>1</v>
      </c>
      <c r="N33" s="11">
        <v>19.010000000000002</v>
      </c>
      <c r="O33" s="26" t="s">
        <v>34</v>
      </c>
      <c r="P33" s="14">
        <f t="shared" si="0"/>
        <v>8.8967971530249115E-2</v>
      </c>
      <c r="Q33" s="17">
        <f>Table1[[#This Row],[Price]]-Table1[[#This Row],[Competitor Pricing]]</f>
        <v>0.54999999999999716</v>
      </c>
    </row>
    <row r="34" spans="1:17" x14ac:dyDescent="0.3">
      <c r="A34" s="20">
        <v>44562</v>
      </c>
      <c r="B34" s="6" t="s">
        <v>53</v>
      </c>
      <c r="C34" s="6" t="s">
        <v>45</v>
      </c>
      <c r="D34" s="6" t="s">
        <v>38</v>
      </c>
      <c r="E34" s="6" t="s">
        <v>32</v>
      </c>
      <c r="F34" s="7">
        <v>389</v>
      </c>
      <c r="G34" s="7">
        <v>283</v>
      </c>
      <c r="H34" s="7">
        <v>177</v>
      </c>
      <c r="I34" s="8">
        <v>299.7</v>
      </c>
      <c r="J34" s="8">
        <v>57.78</v>
      </c>
      <c r="K34" s="7">
        <v>20</v>
      </c>
      <c r="L34" s="6" t="s">
        <v>29</v>
      </c>
      <c r="M34" s="6">
        <v>0</v>
      </c>
      <c r="N34" s="8">
        <v>58.5</v>
      </c>
      <c r="O34" s="25" t="s">
        <v>39</v>
      </c>
      <c r="P34" s="14">
        <f t="shared" si="0"/>
        <v>0.72750642673521848</v>
      </c>
      <c r="Q34" s="17">
        <f>Table1[[#This Row],[Price]]-Table1[[#This Row],[Competitor Pricing]]</f>
        <v>-0.71999999999999886</v>
      </c>
    </row>
    <row r="35" spans="1:17" x14ac:dyDescent="0.3">
      <c r="A35" s="21">
        <v>44562</v>
      </c>
      <c r="B35" s="9" t="s">
        <v>53</v>
      </c>
      <c r="C35" s="9" t="s">
        <v>46</v>
      </c>
      <c r="D35" s="9" t="s">
        <v>31</v>
      </c>
      <c r="E35" s="9" t="s">
        <v>32</v>
      </c>
      <c r="F35" s="10">
        <v>465</v>
      </c>
      <c r="G35" s="10">
        <v>359</v>
      </c>
      <c r="H35" s="10">
        <v>77</v>
      </c>
      <c r="I35" s="11">
        <v>370.36</v>
      </c>
      <c r="J35" s="11">
        <v>91.28</v>
      </c>
      <c r="K35" s="10">
        <v>20</v>
      </c>
      <c r="L35" s="9" t="s">
        <v>29</v>
      </c>
      <c r="M35" s="9">
        <v>0</v>
      </c>
      <c r="N35" s="11">
        <v>90.85</v>
      </c>
      <c r="O35" s="26" t="s">
        <v>27</v>
      </c>
      <c r="P35" s="14">
        <f t="shared" si="0"/>
        <v>0.77204301075268822</v>
      </c>
      <c r="Q35" s="17">
        <f>Table1[[#This Row],[Price]]-Table1[[#This Row],[Competitor Pricing]]</f>
        <v>0.43000000000000682</v>
      </c>
    </row>
    <row r="36" spans="1:17" x14ac:dyDescent="0.3">
      <c r="A36" s="20">
        <v>44562</v>
      </c>
      <c r="B36" s="6" t="s">
        <v>53</v>
      </c>
      <c r="C36" s="6" t="s">
        <v>47</v>
      </c>
      <c r="D36" s="6" t="s">
        <v>22</v>
      </c>
      <c r="E36" s="6" t="s">
        <v>23</v>
      </c>
      <c r="F36" s="7">
        <v>197</v>
      </c>
      <c r="G36" s="7">
        <v>129</v>
      </c>
      <c r="H36" s="7">
        <v>94</v>
      </c>
      <c r="I36" s="8">
        <v>148.55000000000001</v>
      </c>
      <c r="J36" s="8">
        <v>59.9</v>
      </c>
      <c r="K36" s="7">
        <v>15</v>
      </c>
      <c r="L36" s="6" t="s">
        <v>24</v>
      </c>
      <c r="M36" s="6">
        <v>1</v>
      </c>
      <c r="N36" s="8">
        <v>55.23</v>
      </c>
      <c r="O36" s="25" t="s">
        <v>34</v>
      </c>
      <c r="P36" s="14">
        <f t="shared" si="0"/>
        <v>0.65482233502538068</v>
      </c>
      <c r="Q36" s="17">
        <f>Table1[[#This Row],[Price]]-Table1[[#This Row],[Competitor Pricing]]</f>
        <v>4.6700000000000017</v>
      </c>
    </row>
    <row r="37" spans="1:17" x14ac:dyDescent="0.3">
      <c r="A37" s="21">
        <v>44562</v>
      </c>
      <c r="B37" s="9" t="s">
        <v>53</v>
      </c>
      <c r="C37" s="9" t="s">
        <v>48</v>
      </c>
      <c r="D37" s="9" t="s">
        <v>22</v>
      </c>
      <c r="E37" s="9" t="s">
        <v>23</v>
      </c>
      <c r="F37" s="10">
        <v>242</v>
      </c>
      <c r="G37" s="10">
        <v>63</v>
      </c>
      <c r="H37" s="10">
        <v>85</v>
      </c>
      <c r="I37" s="11">
        <v>58.07</v>
      </c>
      <c r="J37" s="11">
        <v>45.65</v>
      </c>
      <c r="K37" s="10">
        <v>20</v>
      </c>
      <c r="L37" s="9" t="s">
        <v>19</v>
      </c>
      <c r="M37" s="9">
        <v>1</v>
      </c>
      <c r="N37" s="11">
        <v>42.17</v>
      </c>
      <c r="O37" s="26" t="s">
        <v>39</v>
      </c>
      <c r="P37" s="14">
        <f t="shared" si="0"/>
        <v>0.26033057851239672</v>
      </c>
      <c r="Q37" s="17">
        <f>Table1[[#This Row],[Price]]-Table1[[#This Row],[Competitor Pricing]]</f>
        <v>3.4799999999999969</v>
      </c>
    </row>
    <row r="38" spans="1:17" x14ac:dyDescent="0.3">
      <c r="A38" s="20">
        <v>44562</v>
      </c>
      <c r="B38" s="6" t="s">
        <v>53</v>
      </c>
      <c r="C38" s="6" t="s">
        <v>49</v>
      </c>
      <c r="D38" s="6" t="s">
        <v>17</v>
      </c>
      <c r="E38" s="6" t="s">
        <v>26</v>
      </c>
      <c r="F38" s="7">
        <v>398</v>
      </c>
      <c r="G38" s="7">
        <v>373</v>
      </c>
      <c r="H38" s="7">
        <v>92</v>
      </c>
      <c r="I38" s="8">
        <v>390.89</v>
      </c>
      <c r="J38" s="8">
        <v>11.71</v>
      </c>
      <c r="K38" s="7">
        <v>20</v>
      </c>
      <c r="L38" s="6" t="s">
        <v>29</v>
      </c>
      <c r="M38" s="6">
        <v>1</v>
      </c>
      <c r="N38" s="8">
        <v>10</v>
      </c>
      <c r="O38" s="25" t="s">
        <v>34</v>
      </c>
      <c r="P38" s="14">
        <f t="shared" si="0"/>
        <v>0.93718592964824121</v>
      </c>
      <c r="Q38" s="17">
        <f>Table1[[#This Row],[Price]]-Table1[[#This Row],[Competitor Pricing]]</f>
        <v>1.7100000000000009</v>
      </c>
    </row>
    <row r="39" spans="1:17" x14ac:dyDescent="0.3">
      <c r="A39" s="21">
        <v>44562</v>
      </c>
      <c r="B39" s="9" t="s">
        <v>53</v>
      </c>
      <c r="C39" s="9" t="s">
        <v>50</v>
      </c>
      <c r="D39" s="9" t="s">
        <v>17</v>
      </c>
      <c r="E39" s="9" t="s">
        <v>18</v>
      </c>
      <c r="F39" s="10">
        <v>234</v>
      </c>
      <c r="G39" s="10">
        <v>160</v>
      </c>
      <c r="H39" s="10">
        <v>140</v>
      </c>
      <c r="I39" s="11">
        <v>177.41</v>
      </c>
      <c r="J39" s="11">
        <v>58.84</v>
      </c>
      <c r="K39" s="10">
        <v>5</v>
      </c>
      <c r="L39" s="9" t="s">
        <v>29</v>
      </c>
      <c r="M39" s="9">
        <v>0</v>
      </c>
      <c r="N39" s="11">
        <v>54.39</v>
      </c>
      <c r="O39" s="26" t="s">
        <v>27</v>
      </c>
      <c r="P39" s="14">
        <f t="shared" si="0"/>
        <v>0.68376068376068377</v>
      </c>
      <c r="Q39" s="17">
        <f>Table1[[#This Row],[Price]]-Table1[[#This Row],[Competitor Pricing]]</f>
        <v>4.4500000000000028</v>
      </c>
    </row>
    <row r="40" spans="1:17" x14ac:dyDescent="0.3">
      <c r="A40" s="20">
        <v>44562</v>
      </c>
      <c r="B40" s="6" t="s">
        <v>53</v>
      </c>
      <c r="C40" s="6" t="s">
        <v>51</v>
      </c>
      <c r="D40" s="6" t="s">
        <v>22</v>
      </c>
      <c r="E40" s="6" t="s">
        <v>32</v>
      </c>
      <c r="F40" s="7">
        <v>67</v>
      </c>
      <c r="G40" s="7">
        <v>15</v>
      </c>
      <c r="H40" s="7">
        <v>186</v>
      </c>
      <c r="I40" s="8">
        <v>34.380000000000003</v>
      </c>
      <c r="J40" s="8">
        <v>84.99</v>
      </c>
      <c r="K40" s="7">
        <v>5</v>
      </c>
      <c r="L40" s="6" t="s">
        <v>24</v>
      </c>
      <c r="M40" s="6">
        <v>1</v>
      </c>
      <c r="N40" s="8">
        <v>81.02</v>
      </c>
      <c r="O40" s="25" t="s">
        <v>34</v>
      </c>
      <c r="P40" s="14">
        <f t="shared" si="0"/>
        <v>0.22388059701492538</v>
      </c>
      <c r="Q40" s="17">
        <f>Table1[[#This Row],[Price]]-Table1[[#This Row],[Competitor Pricing]]</f>
        <v>3.9699999999999989</v>
      </c>
    </row>
    <row r="41" spans="1:17" x14ac:dyDescent="0.3">
      <c r="A41" s="21">
        <v>44562</v>
      </c>
      <c r="B41" s="9" t="s">
        <v>53</v>
      </c>
      <c r="C41" s="9" t="s">
        <v>52</v>
      </c>
      <c r="D41" s="9" t="s">
        <v>22</v>
      </c>
      <c r="E41" s="9" t="s">
        <v>26</v>
      </c>
      <c r="F41" s="10">
        <v>221</v>
      </c>
      <c r="G41" s="10">
        <v>101</v>
      </c>
      <c r="H41" s="10">
        <v>38</v>
      </c>
      <c r="I41" s="11">
        <v>115</v>
      </c>
      <c r="J41" s="11">
        <v>87.1</v>
      </c>
      <c r="K41" s="10">
        <v>0</v>
      </c>
      <c r="L41" s="9" t="s">
        <v>19</v>
      </c>
      <c r="M41" s="9">
        <v>1</v>
      </c>
      <c r="N41" s="11">
        <v>91.56</v>
      </c>
      <c r="O41" s="26" t="s">
        <v>39</v>
      </c>
      <c r="P41" s="14">
        <f t="shared" si="0"/>
        <v>0.45701357466063347</v>
      </c>
      <c r="Q41" s="17">
        <f>Table1[[#This Row],[Price]]-Table1[[#This Row],[Competitor Pricing]]</f>
        <v>-4.460000000000008</v>
      </c>
    </row>
    <row r="42" spans="1:17" x14ac:dyDescent="0.3">
      <c r="A42" s="20">
        <v>44562</v>
      </c>
      <c r="B42" s="6" t="s">
        <v>54</v>
      </c>
      <c r="C42" s="6" t="s">
        <v>16</v>
      </c>
      <c r="D42" s="6" t="s">
        <v>22</v>
      </c>
      <c r="E42" s="6" t="s">
        <v>23</v>
      </c>
      <c r="F42" s="7">
        <v>241</v>
      </c>
      <c r="G42" s="7">
        <v>147</v>
      </c>
      <c r="H42" s="7">
        <v>180</v>
      </c>
      <c r="I42" s="8">
        <v>161.09</v>
      </c>
      <c r="J42" s="8">
        <v>67.209999999999994</v>
      </c>
      <c r="K42" s="7">
        <v>5</v>
      </c>
      <c r="L42" s="6" t="s">
        <v>24</v>
      </c>
      <c r="M42" s="6">
        <v>1</v>
      </c>
      <c r="N42" s="8">
        <v>67.39</v>
      </c>
      <c r="O42" s="25" t="s">
        <v>27</v>
      </c>
      <c r="P42" s="14">
        <f t="shared" si="0"/>
        <v>0.60995850622406644</v>
      </c>
      <c r="Q42" s="17">
        <f>Table1[[#This Row],[Price]]-Table1[[#This Row],[Competitor Pricing]]</f>
        <v>-0.18000000000000682</v>
      </c>
    </row>
    <row r="43" spans="1:17" x14ac:dyDescent="0.3">
      <c r="A43" s="21">
        <v>44562</v>
      </c>
      <c r="B43" s="9" t="s">
        <v>54</v>
      </c>
      <c r="C43" s="9" t="s">
        <v>21</v>
      </c>
      <c r="D43" s="9" t="s">
        <v>31</v>
      </c>
      <c r="E43" s="9" t="s">
        <v>26</v>
      </c>
      <c r="F43" s="10">
        <v>115</v>
      </c>
      <c r="G43" s="10">
        <v>4</v>
      </c>
      <c r="H43" s="10">
        <v>169</v>
      </c>
      <c r="I43" s="11">
        <v>11.11</v>
      </c>
      <c r="J43" s="11">
        <v>28.2</v>
      </c>
      <c r="K43" s="10">
        <v>10</v>
      </c>
      <c r="L43" s="9" t="s">
        <v>24</v>
      </c>
      <c r="M43" s="9">
        <v>1</v>
      </c>
      <c r="N43" s="11">
        <v>25.63</v>
      </c>
      <c r="O43" s="26" t="s">
        <v>39</v>
      </c>
      <c r="P43" s="14">
        <f t="shared" si="0"/>
        <v>3.4782608695652174E-2</v>
      </c>
      <c r="Q43" s="17">
        <f>Table1[[#This Row],[Price]]-Table1[[#This Row],[Competitor Pricing]]</f>
        <v>2.5700000000000003</v>
      </c>
    </row>
    <row r="44" spans="1:17" x14ac:dyDescent="0.3">
      <c r="A44" s="20">
        <v>44562</v>
      </c>
      <c r="B44" s="6" t="s">
        <v>54</v>
      </c>
      <c r="C44" s="6" t="s">
        <v>25</v>
      </c>
      <c r="D44" s="6" t="s">
        <v>17</v>
      </c>
      <c r="E44" s="6" t="s">
        <v>23</v>
      </c>
      <c r="F44" s="7">
        <v>375</v>
      </c>
      <c r="G44" s="7">
        <v>77</v>
      </c>
      <c r="H44" s="7">
        <v>145</v>
      </c>
      <c r="I44" s="8">
        <v>75.040000000000006</v>
      </c>
      <c r="J44" s="8">
        <v>56.16</v>
      </c>
      <c r="K44" s="7">
        <v>10</v>
      </c>
      <c r="L44" s="6" t="s">
        <v>24</v>
      </c>
      <c r="M44" s="6">
        <v>1</v>
      </c>
      <c r="N44" s="8">
        <v>57.16</v>
      </c>
      <c r="O44" s="25" t="s">
        <v>39</v>
      </c>
      <c r="P44" s="14">
        <f t="shared" si="0"/>
        <v>0.20533333333333334</v>
      </c>
      <c r="Q44" s="17">
        <f>Table1[[#This Row],[Price]]-Table1[[#This Row],[Competitor Pricing]]</f>
        <v>-1</v>
      </c>
    </row>
    <row r="45" spans="1:17" x14ac:dyDescent="0.3">
      <c r="A45" s="21">
        <v>44562</v>
      </c>
      <c r="B45" s="9" t="s">
        <v>54</v>
      </c>
      <c r="C45" s="9" t="s">
        <v>28</v>
      </c>
      <c r="D45" s="9" t="s">
        <v>22</v>
      </c>
      <c r="E45" s="9" t="s">
        <v>23</v>
      </c>
      <c r="F45" s="10">
        <v>153</v>
      </c>
      <c r="G45" s="10">
        <v>31</v>
      </c>
      <c r="H45" s="10">
        <v>145</v>
      </c>
      <c r="I45" s="11">
        <v>42.99</v>
      </c>
      <c r="J45" s="11">
        <v>89.53</v>
      </c>
      <c r="K45" s="10">
        <v>20</v>
      </c>
      <c r="L45" s="9" t="s">
        <v>19</v>
      </c>
      <c r="M45" s="9">
        <v>1</v>
      </c>
      <c r="N45" s="11">
        <v>93.6</v>
      </c>
      <c r="O45" s="26" t="s">
        <v>34</v>
      </c>
      <c r="P45" s="14">
        <f t="shared" si="0"/>
        <v>0.20261437908496732</v>
      </c>
      <c r="Q45" s="17">
        <f>Table1[[#This Row],[Price]]-Table1[[#This Row],[Competitor Pricing]]</f>
        <v>-4.0699999999999932</v>
      </c>
    </row>
    <row r="46" spans="1:17" x14ac:dyDescent="0.3">
      <c r="A46" s="20">
        <v>44562</v>
      </c>
      <c r="B46" s="6" t="s">
        <v>54</v>
      </c>
      <c r="C46" s="6" t="s">
        <v>30</v>
      </c>
      <c r="D46" s="6" t="s">
        <v>38</v>
      </c>
      <c r="E46" s="6" t="s">
        <v>26</v>
      </c>
      <c r="F46" s="7">
        <v>438</v>
      </c>
      <c r="G46" s="7">
        <v>325</v>
      </c>
      <c r="H46" s="7">
        <v>20</v>
      </c>
      <c r="I46" s="8">
        <v>330.92</v>
      </c>
      <c r="J46" s="8">
        <v>97.95</v>
      </c>
      <c r="K46" s="7">
        <v>20</v>
      </c>
      <c r="L46" s="6" t="s">
        <v>24</v>
      </c>
      <c r="M46" s="6">
        <v>0</v>
      </c>
      <c r="N46" s="8">
        <v>93.54</v>
      </c>
      <c r="O46" s="25" t="s">
        <v>34</v>
      </c>
      <c r="P46" s="14">
        <f t="shared" si="0"/>
        <v>0.74200913242009137</v>
      </c>
      <c r="Q46" s="17">
        <f>Table1[[#This Row],[Price]]-Table1[[#This Row],[Competitor Pricing]]</f>
        <v>4.4099999999999966</v>
      </c>
    </row>
    <row r="47" spans="1:17" x14ac:dyDescent="0.3">
      <c r="A47" s="21">
        <v>44562</v>
      </c>
      <c r="B47" s="9" t="s">
        <v>54</v>
      </c>
      <c r="C47" s="9" t="s">
        <v>33</v>
      </c>
      <c r="D47" s="9" t="s">
        <v>17</v>
      </c>
      <c r="E47" s="9" t="s">
        <v>18</v>
      </c>
      <c r="F47" s="10">
        <v>456</v>
      </c>
      <c r="G47" s="10">
        <v>163</v>
      </c>
      <c r="H47" s="10">
        <v>22</v>
      </c>
      <c r="I47" s="11">
        <v>159.16999999999999</v>
      </c>
      <c r="J47" s="11">
        <v>76.37</v>
      </c>
      <c r="K47" s="10">
        <v>5</v>
      </c>
      <c r="L47" s="9" t="s">
        <v>19</v>
      </c>
      <c r="M47" s="9">
        <v>1</v>
      </c>
      <c r="N47" s="11">
        <v>71.38</v>
      </c>
      <c r="O47" s="26" t="s">
        <v>27</v>
      </c>
      <c r="P47" s="14">
        <f t="shared" si="0"/>
        <v>0.35745614035087719</v>
      </c>
      <c r="Q47" s="17">
        <f>Table1[[#This Row],[Price]]-Table1[[#This Row],[Competitor Pricing]]</f>
        <v>4.9900000000000091</v>
      </c>
    </row>
    <row r="48" spans="1:17" x14ac:dyDescent="0.3">
      <c r="A48" s="20">
        <v>44562</v>
      </c>
      <c r="B48" s="6" t="s">
        <v>54</v>
      </c>
      <c r="C48" s="6" t="s">
        <v>35</v>
      </c>
      <c r="D48" s="6" t="s">
        <v>31</v>
      </c>
      <c r="E48" s="6" t="s">
        <v>18</v>
      </c>
      <c r="F48" s="7">
        <v>189</v>
      </c>
      <c r="G48" s="7">
        <v>34</v>
      </c>
      <c r="H48" s="7">
        <v>107</v>
      </c>
      <c r="I48" s="8">
        <v>26.91</v>
      </c>
      <c r="J48" s="8">
        <v>86.99</v>
      </c>
      <c r="K48" s="7">
        <v>15</v>
      </c>
      <c r="L48" s="6" t="s">
        <v>19</v>
      </c>
      <c r="M48" s="6">
        <v>1</v>
      </c>
      <c r="N48" s="8">
        <v>90.5</v>
      </c>
      <c r="O48" s="25" t="s">
        <v>27</v>
      </c>
      <c r="P48" s="14">
        <f t="shared" si="0"/>
        <v>0.17989417989417988</v>
      </c>
      <c r="Q48" s="17">
        <f>Table1[[#This Row],[Price]]-Table1[[#This Row],[Competitor Pricing]]</f>
        <v>-3.5100000000000051</v>
      </c>
    </row>
    <row r="49" spans="1:17" x14ac:dyDescent="0.3">
      <c r="A49" s="21">
        <v>44562</v>
      </c>
      <c r="B49" s="9" t="s">
        <v>54</v>
      </c>
      <c r="C49" s="9" t="s">
        <v>37</v>
      </c>
      <c r="D49" s="9" t="s">
        <v>22</v>
      </c>
      <c r="E49" s="9" t="s">
        <v>18</v>
      </c>
      <c r="F49" s="10">
        <v>223</v>
      </c>
      <c r="G49" s="10">
        <v>47</v>
      </c>
      <c r="H49" s="10">
        <v>107</v>
      </c>
      <c r="I49" s="11">
        <v>45.48</v>
      </c>
      <c r="J49" s="11">
        <v>66.53</v>
      </c>
      <c r="K49" s="10">
        <v>15</v>
      </c>
      <c r="L49" s="9" t="s">
        <v>29</v>
      </c>
      <c r="M49" s="9">
        <v>1</v>
      </c>
      <c r="N49" s="11">
        <v>70.459999999999994</v>
      </c>
      <c r="O49" s="26" t="s">
        <v>39</v>
      </c>
      <c r="P49" s="14">
        <f t="shared" si="0"/>
        <v>0.21076233183856502</v>
      </c>
      <c r="Q49" s="17">
        <f>Table1[[#This Row],[Price]]-Table1[[#This Row],[Competitor Pricing]]</f>
        <v>-3.9299999999999926</v>
      </c>
    </row>
    <row r="50" spans="1:17" x14ac:dyDescent="0.3">
      <c r="A50" s="20">
        <v>44562</v>
      </c>
      <c r="B50" s="6" t="s">
        <v>54</v>
      </c>
      <c r="C50" s="6" t="s">
        <v>40</v>
      </c>
      <c r="D50" s="6" t="s">
        <v>17</v>
      </c>
      <c r="E50" s="6" t="s">
        <v>23</v>
      </c>
      <c r="F50" s="7">
        <v>381</v>
      </c>
      <c r="G50" s="7">
        <v>15</v>
      </c>
      <c r="H50" s="7">
        <v>184</v>
      </c>
      <c r="I50" s="8">
        <v>30.05</v>
      </c>
      <c r="J50" s="8">
        <v>74.86</v>
      </c>
      <c r="K50" s="7">
        <v>15</v>
      </c>
      <c r="L50" s="6" t="s">
        <v>44</v>
      </c>
      <c r="M50" s="6">
        <v>1</v>
      </c>
      <c r="N50" s="8">
        <v>73.930000000000007</v>
      </c>
      <c r="O50" s="25" t="s">
        <v>34</v>
      </c>
      <c r="P50" s="14">
        <f t="shared" si="0"/>
        <v>3.937007874015748E-2</v>
      </c>
      <c r="Q50" s="17">
        <f>Table1[[#This Row],[Price]]-Table1[[#This Row],[Competitor Pricing]]</f>
        <v>0.92999999999999261</v>
      </c>
    </row>
    <row r="51" spans="1:17" x14ac:dyDescent="0.3">
      <c r="A51" s="21">
        <v>44562</v>
      </c>
      <c r="B51" s="9" t="s">
        <v>54</v>
      </c>
      <c r="C51" s="9" t="s">
        <v>41</v>
      </c>
      <c r="D51" s="9" t="s">
        <v>17</v>
      </c>
      <c r="E51" s="9" t="s">
        <v>23</v>
      </c>
      <c r="F51" s="10">
        <v>166</v>
      </c>
      <c r="G51" s="10">
        <v>126</v>
      </c>
      <c r="H51" s="10">
        <v>124</v>
      </c>
      <c r="I51" s="11">
        <v>141.34</v>
      </c>
      <c r="J51" s="11">
        <v>97.09</v>
      </c>
      <c r="K51" s="10">
        <v>5</v>
      </c>
      <c r="L51" s="9" t="s">
        <v>19</v>
      </c>
      <c r="M51" s="9">
        <v>1</v>
      </c>
      <c r="N51" s="11">
        <v>95.8</v>
      </c>
      <c r="O51" s="26" t="s">
        <v>27</v>
      </c>
      <c r="P51" s="14">
        <f t="shared" si="0"/>
        <v>0.75903614457831325</v>
      </c>
      <c r="Q51" s="17">
        <f>Table1[[#This Row],[Price]]-Table1[[#This Row],[Competitor Pricing]]</f>
        <v>1.2900000000000063</v>
      </c>
    </row>
    <row r="52" spans="1:17" x14ac:dyDescent="0.3">
      <c r="A52" s="20">
        <v>44562</v>
      </c>
      <c r="B52" s="6" t="s">
        <v>54</v>
      </c>
      <c r="C52" s="6" t="s">
        <v>42</v>
      </c>
      <c r="D52" s="6" t="s">
        <v>22</v>
      </c>
      <c r="E52" s="6" t="s">
        <v>32</v>
      </c>
      <c r="F52" s="7">
        <v>292</v>
      </c>
      <c r="G52" s="7">
        <v>232</v>
      </c>
      <c r="H52" s="7">
        <v>155</v>
      </c>
      <c r="I52" s="8">
        <v>242.02</v>
      </c>
      <c r="J52" s="8">
        <v>56.19</v>
      </c>
      <c r="K52" s="7">
        <v>0</v>
      </c>
      <c r="L52" s="6" t="s">
        <v>44</v>
      </c>
      <c r="M52" s="6">
        <v>1</v>
      </c>
      <c r="N52" s="8">
        <v>57.85</v>
      </c>
      <c r="O52" s="25" t="s">
        <v>34</v>
      </c>
      <c r="P52" s="14">
        <f t="shared" si="0"/>
        <v>0.79452054794520544</v>
      </c>
      <c r="Q52" s="17">
        <f>Table1[[#This Row],[Price]]-Table1[[#This Row],[Competitor Pricing]]</f>
        <v>-1.6600000000000037</v>
      </c>
    </row>
    <row r="53" spans="1:17" x14ac:dyDescent="0.3">
      <c r="A53" s="21">
        <v>44562</v>
      </c>
      <c r="B53" s="9" t="s">
        <v>54</v>
      </c>
      <c r="C53" s="9" t="s">
        <v>43</v>
      </c>
      <c r="D53" s="9" t="s">
        <v>31</v>
      </c>
      <c r="E53" s="9" t="s">
        <v>18</v>
      </c>
      <c r="F53" s="10">
        <v>311</v>
      </c>
      <c r="G53" s="10">
        <v>175</v>
      </c>
      <c r="H53" s="10">
        <v>55</v>
      </c>
      <c r="I53" s="11">
        <v>176.75</v>
      </c>
      <c r="J53" s="11">
        <v>90.38</v>
      </c>
      <c r="K53" s="10">
        <v>20</v>
      </c>
      <c r="L53" s="9" t="s">
        <v>29</v>
      </c>
      <c r="M53" s="9">
        <v>0</v>
      </c>
      <c r="N53" s="11">
        <v>89.52</v>
      </c>
      <c r="O53" s="26" t="s">
        <v>27</v>
      </c>
      <c r="P53" s="14">
        <f t="shared" si="0"/>
        <v>0.56270096463022512</v>
      </c>
      <c r="Q53" s="17">
        <f>Table1[[#This Row],[Price]]-Table1[[#This Row],[Competitor Pricing]]</f>
        <v>0.85999999999999943</v>
      </c>
    </row>
    <row r="54" spans="1:17" x14ac:dyDescent="0.3">
      <c r="A54" s="20">
        <v>44562</v>
      </c>
      <c r="B54" s="6" t="s">
        <v>54</v>
      </c>
      <c r="C54" s="6" t="s">
        <v>45</v>
      </c>
      <c r="D54" s="6" t="s">
        <v>36</v>
      </c>
      <c r="E54" s="6" t="s">
        <v>18</v>
      </c>
      <c r="F54" s="7">
        <v>51</v>
      </c>
      <c r="G54" s="7">
        <v>17</v>
      </c>
      <c r="H54" s="7">
        <v>172</v>
      </c>
      <c r="I54" s="8">
        <v>12.86</v>
      </c>
      <c r="J54" s="8">
        <v>73.98</v>
      </c>
      <c r="K54" s="7">
        <v>20</v>
      </c>
      <c r="L54" s="6" t="s">
        <v>29</v>
      </c>
      <c r="M54" s="6">
        <v>1</v>
      </c>
      <c r="N54" s="8">
        <v>76.650000000000006</v>
      </c>
      <c r="O54" s="25" t="s">
        <v>27</v>
      </c>
      <c r="P54" s="14">
        <f t="shared" si="0"/>
        <v>0.33333333333333331</v>
      </c>
      <c r="Q54" s="17">
        <f>Table1[[#This Row],[Price]]-Table1[[#This Row],[Competitor Pricing]]</f>
        <v>-2.6700000000000017</v>
      </c>
    </row>
    <row r="55" spans="1:17" x14ac:dyDescent="0.3">
      <c r="A55" s="21">
        <v>44562</v>
      </c>
      <c r="B55" s="9" t="s">
        <v>54</v>
      </c>
      <c r="C55" s="9" t="s">
        <v>46</v>
      </c>
      <c r="D55" s="9" t="s">
        <v>31</v>
      </c>
      <c r="E55" s="9" t="s">
        <v>23</v>
      </c>
      <c r="F55" s="10">
        <v>398</v>
      </c>
      <c r="G55" s="10">
        <v>369</v>
      </c>
      <c r="H55" s="10">
        <v>26</v>
      </c>
      <c r="I55" s="11">
        <v>387.88</v>
      </c>
      <c r="J55" s="11">
        <v>79.03</v>
      </c>
      <c r="K55" s="10">
        <v>5</v>
      </c>
      <c r="L55" s="9" t="s">
        <v>19</v>
      </c>
      <c r="M55" s="9">
        <v>0</v>
      </c>
      <c r="N55" s="11">
        <v>82.51</v>
      </c>
      <c r="O55" s="26" t="s">
        <v>39</v>
      </c>
      <c r="P55" s="14">
        <f t="shared" si="0"/>
        <v>0.92713567839195976</v>
      </c>
      <c r="Q55" s="17">
        <f>Table1[[#This Row],[Price]]-Table1[[#This Row],[Competitor Pricing]]</f>
        <v>-3.480000000000004</v>
      </c>
    </row>
    <row r="56" spans="1:17" x14ac:dyDescent="0.3">
      <c r="A56" s="20">
        <v>44562</v>
      </c>
      <c r="B56" s="6" t="s">
        <v>54</v>
      </c>
      <c r="C56" s="6" t="s">
        <v>47</v>
      </c>
      <c r="D56" s="6" t="s">
        <v>38</v>
      </c>
      <c r="E56" s="6" t="s">
        <v>26</v>
      </c>
      <c r="F56" s="7">
        <v>445</v>
      </c>
      <c r="G56" s="7">
        <v>260</v>
      </c>
      <c r="H56" s="7">
        <v>24</v>
      </c>
      <c r="I56" s="8">
        <v>266.36</v>
      </c>
      <c r="J56" s="8">
        <v>27.72</v>
      </c>
      <c r="K56" s="7">
        <v>5</v>
      </c>
      <c r="L56" s="6" t="s">
        <v>44</v>
      </c>
      <c r="M56" s="6">
        <v>0</v>
      </c>
      <c r="N56" s="8">
        <v>23.28</v>
      </c>
      <c r="O56" s="25" t="s">
        <v>20</v>
      </c>
      <c r="P56" s="14">
        <f t="shared" si="0"/>
        <v>0.5842696629213483</v>
      </c>
      <c r="Q56" s="17">
        <f>Table1[[#This Row],[Price]]-Table1[[#This Row],[Competitor Pricing]]</f>
        <v>4.4399999999999977</v>
      </c>
    </row>
    <row r="57" spans="1:17" x14ac:dyDescent="0.3">
      <c r="A57" s="21">
        <v>44562</v>
      </c>
      <c r="B57" s="9" t="s">
        <v>54</v>
      </c>
      <c r="C57" s="9" t="s">
        <v>48</v>
      </c>
      <c r="D57" s="9" t="s">
        <v>17</v>
      </c>
      <c r="E57" s="9" t="s">
        <v>23</v>
      </c>
      <c r="F57" s="10">
        <v>487</v>
      </c>
      <c r="G57" s="10">
        <v>347</v>
      </c>
      <c r="H57" s="10">
        <v>93</v>
      </c>
      <c r="I57" s="11">
        <v>349.36</v>
      </c>
      <c r="J57" s="11">
        <v>98.18</v>
      </c>
      <c r="K57" s="10">
        <v>15</v>
      </c>
      <c r="L57" s="9" t="s">
        <v>19</v>
      </c>
      <c r="M57" s="9">
        <v>0</v>
      </c>
      <c r="N57" s="11">
        <v>99.58</v>
      </c>
      <c r="O57" s="26" t="s">
        <v>34</v>
      </c>
      <c r="P57" s="14">
        <f t="shared" si="0"/>
        <v>0.71252566735112932</v>
      </c>
      <c r="Q57" s="17">
        <f>Table1[[#This Row],[Price]]-Table1[[#This Row],[Competitor Pricing]]</f>
        <v>-1.3999999999999915</v>
      </c>
    </row>
    <row r="58" spans="1:17" x14ac:dyDescent="0.3">
      <c r="A58" s="20">
        <v>44562</v>
      </c>
      <c r="B58" s="6" t="s">
        <v>54</v>
      </c>
      <c r="C58" s="6" t="s">
        <v>49</v>
      </c>
      <c r="D58" s="6" t="s">
        <v>38</v>
      </c>
      <c r="E58" s="6" t="s">
        <v>32</v>
      </c>
      <c r="F58" s="7">
        <v>429</v>
      </c>
      <c r="G58" s="7">
        <v>150</v>
      </c>
      <c r="H58" s="7">
        <v>168</v>
      </c>
      <c r="I58" s="8">
        <v>157.82</v>
      </c>
      <c r="J58" s="8">
        <v>27.1</v>
      </c>
      <c r="K58" s="7">
        <v>5</v>
      </c>
      <c r="L58" s="6" t="s">
        <v>29</v>
      </c>
      <c r="M58" s="6">
        <v>1</v>
      </c>
      <c r="N58" s="8">
        <v>27.4</v>
      </c>
      <c r="O58" s="25" t="s">
        <v>39</v>
      </c>
      <c r="P58" s="14">
        <f t="shared" si="0"/>
        <v>0.34965034965034963</v>
      </c>
      <c r="Q58" s="17">
        <f>Table1[[#This Row],[Price]]-Table1[[#This Row],[Competitor Pricing]]</f>
        <v>-0.29999999999999716</v>
      </c>
    </row>
    <row r="59" spans="1:17" x14ac:dyDescent="0.3">
      <c r="A59" s="21">
        <v>44562</v>
      </c>
      <c r="B59" s="9" t="s">
        <v>54</v>
      </c>
      <c r="C59" s="9" t="s">
        <v>50</v>
      </c>
      <c r="D59" s="9" t="s">
        <v>22</v>
      </c>
      <c r="E59" s="9" t="s">
        <v>26</v>
      </c>
      <c r="F59" s="10">
        <v>204</v>
      </c>
      <c r="G59" s="10">
        <v>70</v>
      </c>
      <c r="H59" s="10">
        <v>170</v>
      </c>
      <c r="I59" s="11">
        <v>83.01</v>
      </c>
      <c r="J59" s="11">
        <v>97.08</v>
      </c>
      <c r="K59" s="10">
        <v>15</v>
      </c>
      <c r="L59" s="9" t="s">
        <v>44</v>
      </c>
      <c r="M59" s="9">
        <v>1</v>
      </c>
      <c r="N59" s="11">
        <v>94.88</v>
      </c>
      <c r="O59" s="26" t="s">
        <v>34</v>
      </c>
      <c r="P59" s="14">
        <f t="shared" si="0"/>
        <v>0.34313725490196079</v>
      </c>
      <c r="Q59" s="17">
        <f>Table1[[#This Row],[Price]]-Table1[[#This Row],[Competitor Pricing]]</f>
        <v>2.2000000000000028</v>
      </c>
    </row>
    <row r="60" spans="1:17" x14ac:dyDescent="0.3">
      <c r="A60" s="20">
        <v>44562</v>
      </c>
      <c r="B60" s="6" t="s">
        <v>54</v>
      </c>
      <c r="C60" s="6" t="s">
        <v>51</v>
      </c>
      <c r="D60" s="6" t="s">
        <v>38</v>
      </c>
      <c r="E60" s="6" t="s">
        <v>32</v>
      </c>
      <c r="F60" s="7">
        <v>330</v>
      </c>
      <c r="G60" s="7">
        <v>249</v>
      </c>
      <c r="H60" s="7">
        <v>37</v>
      </c>
      <c r="I60" s="8">
        <v>268.25</v>
      </c>
      <c r="J60" s="8">
        <v>26.71</v>
      </c>
      <c r="K60" s="7">
        <v>15</v>
      </c>
      <c r="L60" s="6" t="s">
        <v>29</v>
      </c>
      <c r="M60" s="6">
        <v>1</v>
      </c>
      <c r="N60" s="8">
        <v>24.81</v>
      </c>
      <c r="O60" s="25" t="s">
        <v>27</v>
      </c>
      <c r="P60" s="14">
        <f t="shared" si="0"/>
        <v>0.75454545454545452</v>
      </c>
      <c r="Q60" s="17">
        <f>Table1[[#This Row],[Price]]-Table1[[#This Row],[Competitor Pricing]]</f>
        <v>1.9000000000000021</v>
      </c>
    </row>
    <row r="61" spans="1:17" x14ac:dyDescent="0.3">
      <c r="A61" s="21">
        <v>44562</v>
      </c>
      <c r="B61" s="9" t="s">
        <v>54</v>
      </c>
      <c r="C61" s="9" t="s">
        <v>52</v>
      </c>
      <c r="D61" s="9" t="s">
        <v>31</v>
      </c>
      <c r="E61" s="9" t="s">
        <v>18</v>
      </c>
      <c r="F61" s="10">
        <v>431</v>
      </c>
      <c r="G61" s="10">
        <v>370</v>
      </c>
      <c r="H61" s="10">
        <v>99</v>
      </c>
      <c r="I61" s="11">
        <v>387.57</v>
      </c>
      <c r="J61" s="11">
        <v>95.85</v>
      </c>
      <c r="K61" s="10">
        <v>20</v>
      </c>
      <c r="L61" s="9" t="s">
        <v>29</v>
      </c>
      <c r="M61" s="9">
        <v>1</v>
      </c>
      <c r="N61" s="11">
        <v>95.7</v>
      </c>
      <c r="O61" s="26" t="s">
        <v>39</v>
      </c>
      <c r="P61" s="14">
        <f t="shared" si="0"/>
        <v>0.85846867749419953</v>
      </c>
      <c r="Q61" s="17">
        <f>Table1[[#This Row],[Price]]-Table1[[#This Row],[Competitor Pricing]]</f>
        <v>0.14999999999999147</v>
      </c>
    </row>
    <row r="62" spans="1:17" x14ac:dyDescent="0.3">
      <c r="A62" s="20">
        <v>44562</v>
      </c>
      <c r="B62" s="6" t="s">
        <v>55</v>
      </c>
      <c r="C62" s="6" t="s">
        <v>16</v>
      </c>
      <c r="D62" s="6" t="s">
        <v>22</v>
      </c>
      <c r="E62" s="6" t="s">
        <v>23</v>
      </c>
      <c r="F62" s="7">
        <v>477</v>
      </c>
      <c r="G62" s="7">
        <v>271</v>
      </c>
      <c r="H62" s="7">
        <v>66</v>
      </c>
      <c r="I62" s="8">
        <v>286.64999999999998</v>
      </c>
      <c r="J62" s="8">
        <v>15.62</v>
      </c>
      <c r="K62" s="7">
        <v>15</v>
      </c>
      <c r="L62" s="6" t="s">
        <v>24</v>
      </c>
      <c r="M62" s="6">
        <v>0</v>
      </c>
      <c r="N62" s="8">
        <v>16.09</v>
      </c>
      <c r="O62" s="25" t="s">
        <v>34</v>
      </c>
      <c r="P62" s="14">
        <f t="shared" si="0"/>
        <v>0.56813417190775684</v>
      </c>
      <c r="Q62" s="17">
        <f>Table1[[#This Row],[Price]]-Table1[[#This Row],[Competitor Pricing]]</f>
        <v>-0.47000000000000064</v>
      </c>
    </row>
    <row r="63" spans="1:17" x14ac:dyDescent="0.3">
      <c r="A63" s="21">
        <v>44562</v>
      </c>
      <c r="B63" s="9" t="s">
        <v>55</v>
      </c>
      <c r="C63" s="9" t="s">
        <v>21</v>
      </c>
      <c r="D63" s="9" t="s">
        <v>38</v>
      </c>
      <c r="E63" s="9" t="s">
        <v>18</v>
      </c>
      <c r="F63" s="10">
        <v>462</v>
      </c>
      <c r="G63" s="10">
        <v>180</v>
      </c>
      <c r="H63" s="10">
        <v>183</v>
      </c>
      <c r="I63" s="11">
        <v>176.06</v>
      </c>
      <c r="J63" s="11">
        <v>41.13</v>
      </c>
      <c r="K63" s="10">
        <v>5</v>
      </c>
      <c r="L63" s="9" t="s">
        <v>24</v>
      </c>
      <c r="M63" s="9">
        <v>0</v>
      </c>
      <c r="N63" s="11">
        <v>45.05</v>
      </c>
      <c r="O63" s="26" t="s">
        <v>20</v>
      </c>
      <c r="P63" s="14">
        <f t="shared" si="0"/>
        <v>0.38961038961038963</v>
      </c>
      <c r="Q63" s="17">
        <f>Table1[[#This Row],[Price]]-Table1[[#This Row],[Competitor Pricing]]</f>
        <v>-3.9199999999999946</v>
      </c>
    </row>
    <row r="64" spans="1:17" x14ac:dyDescent="0.3">
      <c r="A64" s="20">
        <v>44562</v>
      </c>
      <c r="B64" s="6" t="s">
        <v>55</v>
      </c>
      <c r="C64" s="6" t="s">
        <v>25</v>
      </c>
      <c r="D64" s="6" t="s">
        <v>38</v>
      </c>
      <c r="E64" s="6" t="s">
        <v>26</v>
      </c>
      <c r="F64" s="7">
        <v>446</v>
      </c>
      <c r="G64" s="7">
        <v>344</v>
      </c>
      <c r="H64" s="7">
        <v>27</v>
      </c>
      <c r="I64" s="8">
        <v>352.93</v>
      </c>
      <c r="J64" s="8">
        <v>89.32</v>
      </c>
      <c r="K64" s="7">
        <v>20</v>
      </c>
      <c r="L64" s="6" t="s">
        <v>29</v>
      </c>
      <c r="M64" s="6">
        <v>0</v>
      </c>
      <c r="N64" s="8">
        <v>93</v>
      </c>
      <c r="O64" s="25" t="s">
        <v>20</v>
      </c>
      <c r="P64" s="14">
        <f t="shared" si="0"/>
        <v>0.77130044843049328</v>
      </c>
      <c r="Q64" s="17">
        <f>Table1[[#This Row],[Price]]-Table1[[#This Row],[Competitor Pricing]]</f>
        <v>-3.6800000000000068</v>
      </c>
    </row>
    <row r="65" spans="1:17" x14ac:dyDescent="0.3">
      <c r="A65" s="21">
        <v>44562</v>
      </c>
      <c r="B65" s="9" t="s">
        <v>55</v>
      </c>
      <c r="C65" s="9" t="s">
        <v>28</v>
      </c>
      <c r="D65" s="9" t="s">
        <v>17</v>
      </c>
      <c r="E65" s="9" t="s">
        <v>26</v>
      </c>
      <c r="F65" s="10">
        <v>437</v>
      </c>
      <c r="G65" s="10">
        <v>0</v>
      </c>
      <c r="H65" s="10">
        <v>160</v>
      </c>
      <c r="I65" s="11">
        <v>-2.4</v>
      </c>
      <c r="J65" s="11">
        <v>87.23</v>
      </c>
      <c r="K65" s="10">
        <v>10</v>
      </c>
      <c r="L65" s="9" t="s">
        <v>24</v>
      </c>
      <c r="M65" s="9">
        <v>0</v>
      </c>
      <c r="N65" s="11">
        <v>90.36</v>
      </c>
      <c r="O65" s="26" t="s">
        <v>39</v>
      </c>
      <c r="P65" s="14">
        <f t="shared" si="0"/>
        <v>0</v>
      </c>
      <c r="Q65" s="17">
        <f>Table1[[#This Row],[Price]]-Table1[[#This Row],[Competitor Pricing]]</f>
        <v>-3.1299999999999955</v>
      </c>
    </row>
    <row r="66" spans="1:17" x14ac:dyDescent="0.3">
      <c r="A66" s="20">
        <v>44562</v>
      </c>
      <c r="B66" s="6" t="s">
        <v>55</v>
      </c>
      <c r="C66" s="6" t="s">
        <v>30</v>
      </c>
      <c r="D66" s="6" t="s">
        <v>17</v>
      </c>
      <c r="E66" s="6" t="s">
        <v>18</v>
      </c>
      <c r="F66" s="7">
        <v>397</v>
      </c>
      <c r="G66" s="7">
        <v>200</v>
      </c>
      <c r="H66" s="7">
        <v>172</v>
      </c>
      <c r="I66" s="8">
        <v>196.57</v>
      </c>
      <c r="J66" s="8">
        <v>81.72</v>
      </c>
      <c r="K66" s="7">
        <v>0</v>
      </c>
      <c r="L66" s="6" t="s">
        <v>44</v>
      </c>
      <c r="M66" s="6">
        <v>1</v>
      </c>
      <c r="N66" s="8">
        <v>85.22</v>
      </c>
      <c r="O66" s="25" t="s">
        <v>39</v>
      </c>
      <c r="P66" s="14">
        <f t="shared" si="0"/>
        <v>0.50377833753148615</v>
      </c>
      <c r="Q66" s="17">
        <f>Table1[[#This Row],[Price]]-Table1[[#This Row],[Competitor Pricing]]</f>
        <v>-3.5</v>
      </c>
    </row>
    <row r="67" spans="1:17" x14ac:dyDescent="0.3">
      <c r="A67" s="21">
        <v>44562</v>
      </c>
      <c r="B67" s="9" t="s">
        <v>55</v>
      </c>
      <c r="C67" s="9" t="s">
        <v>33</v>
      </c>
      <c r="D67" s="9" t="s">
        <v>31</v>
      </c>
      <c r="E67" s="9" t="s">
        <v>32</v>
      </c>
      <c r="F67" s="10">
        <v>470</v>
      </c>
      <c r="G67" s="10">
        <v>382</v>
      </c>
      <c r="H67" s="10">
        <v>195</v>
      </c>
      <c r="I67" s="11">
        <v>396.4</v>
      </c>
      <c r="J67" s="11">
        <v>41.35</v>
      </c>
      <c r="K67" s="10">
        <v>10</v>
      </c>
      <c r="L67" s="9" t="s">
        <v>44</v>
      </c>
      <c r="M67" s="9">
        <v>0</v>
      </c>
      <c r="N67" s="11">
        <v>39.86</v>
      </c>
      <c r="O67" s="26" t="s">
        <v>27</v>
      </c>
      <c r="P67" s="14">
        <f t="shared" ref="P67:P130" si="1">G67/F67</f>
        <v>0.81276595744680846</v>
      </c>
      <c r="Q67" s="17">
        <f>Table1[[#This Row],[Price]]-Table1[[#This Row],[Competitor Pricing]]</f>
        <v>1.490000000000002</v>
      </c>
    </row>
    <row r="68" spans="1:17" x14ac:dyDescent="0.3">
      <c r="A68" s="20">
        <v>44562</v>
      </c>
      <c r="B68" s="6" t="s">
        <v>55</v>
      </c>
      <c r="C68" s="6" t="s">
        <v>35</v>
      </c>
      <c r="D68" s="6" t="s">
        <v>31</v>
      </c>
      <c r="E68" s="6" t="s">
        <v>26</v>
      </c>
      <c r="F68" s="7">
        <v>264</v>
      </c>
      <c r="G68" s="7">
        <v>190</v>
      </c>
      <c r="H68" s="7">
        <v>139</v>
      </c>
      <c r="I68" s="8">
        <v>197.45</v>
      </c>
      <c r="J68" s="8">
        <v>67.260000000000005</v>
      </c>
      <c r="K68" s="7">
        <v>20</v>
      </c>
      <c r="L68" s="6" t="s">
        <v>29</v>
      </c>
      <c r="M68" s="6">
        <v>0</v>
      </c>
      <c r="N68" s="8">
        <v>64.78</v>
      </c>
      <c r="O68" s="25" t="s">
        <v>27</v>
      </c>
      <c r="P68" s="14">
        <f t="shared" si="1"/>
        <v>0.71969696969696972</v>
      </c>
      <c r="Q68" s="17">
        <f>Table1[[#This Row],[Price]]-Table1[[#This Row],[Competitor Pricing]]</f>
        <v>2.480000000000004</v>
      </c>
    </row>
    <row r="69" spans="1:17" x14ac:dyDescent="0.3">
      <c r="A69" s="21">
        <v>44562</v>
      </c>
      <c r="B69" s="9" t="s">
        <v>55</v>
      </c>
      <c r="C69" s="9" t="s">
        <v>37</v>
      </c>
      <c r="D69" s="9" t="s">
        <v>36</v>
      </c>
      <c r="E69" s="9" t="s">
        <v>23</v>
      </c>
      <c r="F69" s="10">
        <v>250</v>
      </c>
      <c r="G69" s="10">
        <v>51</v>
      </c>
      <c r="H69" s="10">
        <v>137</v>
      </c>
      <c r="I69" s="11">
        <v>54.98</v>
      </c>
      <c r="J69" s="11">
        <v>85.88</v>
      </c>
      <c r="K69" s="10">
        <v>20</v>
      </c>
      <c r="L69" s="9" t="s">
        <v>44</v>
      </c>
      <c r="M69" s="9">
        <v>1</v>
      </c>
      <c r="N69" s="11">
        <v>86.14</v>
      </c>
      <c r="O69" s="26" t="s">
        <v>34</v>
      </c>
      <c r="P69" s="14">
        <f t="shared" si="1"/>
        <v>0.20399999999999999</v>
      </c>
      <c r="Q69" s="17">
        <f>Table1[[#This Row],[Price]]-Table1[[#This Row],[Competitor Pricing]]</f>
        <v>-0.26000000000000512</v>
      </c>
    </row>
    <row r="70" spans="1:17" x14ac:dyDescent="0.3">
      <c r="A70" s="20">
        <v>44562</v>
      </c>
      <c r="B70" s="6" t="s">
        <v>55</v>
      </c>
      <c r="C70" s="6" t="s">
        <v>40</v>
      </c>
      <c r="D70" s="6" t="s">
        <v>36</v>
      </c>
      <c r="E70" s="6" t="s">
        <v>18</v>
      </c>
      <c r="F70" s="7">
        <v>63</v>
      </c>
      <c r="G70" s="7">
        <v>40</v>
      </c>
      <c r="H70" s="7">
        <v>73</v>
      </c>
      <c r="I70" s="8">
        <v>51.78</v>
      </c>
      <c r="J70" s="8">
        <v>59.23</v>
      </c>
      <c r="K70" s="7">
        <v>10</v>
      </c>
      <c r="L70" s="6" t="s">
        <v>19</v>
      </c>
      <c r="M70" s="6">
        <v>1</v>
      </c>
      <c r="N70" s="8">
        <v>61.1</v>
      </c>
      <c r="O70" s="25" t="s">
        <v>27</v>
      </c>
      <c r="P70" s="14">
        <f t="shared" si="1"/>
        <v>0.63492063492063489</v>
      </c>
      <c r="Q70" s="17">
        <f>Table1[[#This Row],[Price]]-Table1[[#This Row],[Competitor Pricing]]</f>
        <v>-1.8700000000000045</v>
      </c>
    </row>
    <row r="71" spans="1:17" x14ac:dyDescent="0.3">
      <c r="A71" s="21">
        <v>44562</v>
      </c>
      <c r="B71" s="9" t="s">
        <v>55</v>
      </c>
      <c r="C71" s="9" t="s">
        <v>41</v>
      </c>
      <c r="D71" s="9" t="s">
        <v>17</v>
      </c>
      <c r="E71" s="9" t="s">
        <v>32</v>
      </c>
      <c r="F71" s="10">
        <v>447</v>
      </c>
      <c r="G71" s="10">
        <v>104</v>
      </c>
      <c r="H71" s="10">
        <v>96</v>
      </c>
      <c r="I71" s="11">
        <v>115.03</v>
      </c>
      <c r="J71" s="11">
        <v>33.479999999999997</v>
      </c>
      <c r="K71" s="10">
        <v>15</v>
      </c>
      <c r="L71" s="9" t="s">
        <v>29</v>
      </c>
      <c r="M71" s="9">
        <v>0</v>
      </c>
      <c r="N71" s="11">
        <v>37.15</v>
      </c>
      <c r="O71" s="26" t="s">
        <v>27</v>
      </c>
      <c r="P71" s="14">
        <f t="shared" si="1"/>
        <v>0.23266219239373601</v>
      </c>
      <c r="Q71" s="17">
        <f>Table1[[#This Row],[Price]]-Table1[[#This Row],[Competitor Pricing]]</f>
        <v>-3.6700000000000017</v>
      </c>
    </row>
    <row r="72" spans="1:17" x14ac:dyDescent="0.3">
      <c r="A72" s="20">
        <v>44562</v>
      </c>
      <c r="B72" s="6" t="s">
        <v>55</v>
      </c>
      <c r="C72" s="6" t="s">
        <v>42</v>
      </c>
      <c r="D72" s="6" t="s">
        <v>31</v>
      </c>
      <c r="E72" s="6" t="s">
        <v>26</v>
      </c>
      <c r="F72" s="7">
        <v>205</v>
      </c>
      <c r="G72" s="7">
        <v>46</v>
      </c>
      <c r="H72" s="7">
        <v>27</v>
      </c>
      <c r="I72" s="8">
        <v>46.65</v>
      </c>
      <c r="J72" s="8">
        <v>54.84</v>
      </c>
      <c r="K72" s="7">
        <v>0</v>
      </c>
      <c r="L72" s="6" t="s">
        <v>24</v>
      </c>
      <c r="M72" s="6">
        <v>1</v>
      </c>
      <c r="N72" s="8">
        <v>57.76</v>
      </c>
      <c r="O72" s="25" t="s">
        <v>39</v>
      </c>
      <c r="P72" s="14">
        <f t="shared" si="1"/>
        <v>0.22439024390243903</v>
      </c>
      <c r="Q72" s="17">
        <f>Table1[[#This Row],[Price]]-Table1[[#This Row],[Competitor Pricing]]</f>
        <v>-2.9199999999999946</v>
      </c>
    </row>
    <row r="73" spans="1:17" x14ac:dyDescent="0.3">
      <c r="A73" s="21">
        <v>44562</v>
      </c>
      <c r="B73" s="9" t="s">
        <v>55</v>
      </c>
      <c r="C73" s="9" t="s">
        <v>43</v>
      </c>
      <c r="D73" s="9" t="s">
        <v>31</v>
      </c>
      <c r="E73" s="9" t="s">
        <v>18</v>
      </c>
      <c r="F73" s="10">
        <v>349</v>
      </c>
      <c r="G73" s="10">
        <v>9</v>
      </c>
      <c r="H73" s="10">
        <v>165</v>
      </c>
      <c r="I73" s="11">
        <v>0.95</v>
      </c>
      <c r="J73" s="11">
        <v>14.25</v>
      </c>
      <c r="K73" s="10">
        <v>5</v>
      </c>
      <c r="L73" s="9" t="s">
        <v>19</v>
      </c>
      <c r="M73" s="9">
        <v>1</v>
      </c>
      <c r="N73" s="11">
        <v>18.559999999999999</v>
      </c>
      <c r="O73" s="26" t="s">
        <v>39</v>
      </c>
      <c r="P73" s="14">
        <f t="shared" si="1"/>
        <v>2.5787965616045846E-2</v>
      </c>
      <c r="Q73" s="17">
        <f>Table1[[#This Row],[Price]]-Table1[[#This Row],[Competitor Pricing]]</f>
        <v>-4.3099999999999987</v>
      </c>
    </row>
    <row r="74" spans="1:17" x14ac:dyDescent="0.3">
      <c r="A74" s="20">
        <v>44562</v>
      </c>
      <c r="B74" s="6" t="s">
        <v>55</v>
      </c>
      <c r="C74" s="6" t="s">
        <v>45</v>
      </c>
      <c r="D74" s="6" t="s">
        <v>36</v>
      </c>
      <c r="E74" s="6" t="s">
        <v>32</v>
      </c>
      <c r="F74" s="7">
        <v>191</v>
      </c>
      <c r="G74" s="7">
        <v>56</v>
      </c>
      <c r="H74" s="7">
        <v>65</v>
      </c>
      <c r="I74" s="8">
        <v>54.47</v>
      </c>
      <c r="J74" s="8">
        <v>61.81</v>
      </c>
      <c r="K74" s="7">
        <v>0</v>
      </c>
      <c r="L74" s="6" t="s">
        <v>24</v>
      </c>
      <c r="M74" s="6">
        <v>0</v>
      </c>
      <c r="N74" s="8">
        <v>63.92</v>
      </c>
      <c r="O74" s="25" t="s">
        <v>20</v>
      </c>
      <c r="P74" s="14">
        <f t="shared" si="1"/>
        <v>0.29319371727748689</v>
      </c>
      <c r="Q74" s="17">
        <f>Table1[[#This Row],[Price]]-Table1[[#This Row],[Competitor Pricing]]</f>
        <v>-2.1099999999999994</v>
      </c>
    </row>
    <row r="75" spans="1:17" x14ac:dyDescent="0.3">
      <c r="A75" s="21">
        <v>44562</v>
      </c>
      <c r="B75" s="9" t="s">
        <v>55</v>
      </c>
      <c r="C75" s="9" t="s">
        <v>46</v>
      </c>
      <c r="D75" s="9" t="s">
        <v>31</v>
      </c>
      <c r="E75" s="9" t="s">
        <v>26</v>
      </c>
      <c r="F75" s="10">
        <v>406</v>
      </c>
      <c r="G75" s="10">
        <v>63</v>
      </c>
      <c r="H75" s="10">
        <v>139</v>
      </c>
      <c r="I75" s="11">
        <v>69.73</v>
      </c>
      <c r="J75" s="11">
        <v>66.94</v>
      </c>
      <c r="K75" s="10">
        <v>10</v>
      </c>
      <c r="L75" s="9" t="s">
        <v>44</v>
      </c>
      <c r="M75" s="9">
        <v>1</v>
      </c>
      <c r="N75" s="11">
        <v>68.47</v>
      </c>
      <c r="O75" s="26" t="s">
        <v>34</v>
      </c>
      <c r="P75" s="14">
        <f t="shared" si="1"/>
        <v>0.15517241379310345</v>
      </c>
      <c r="Q75" s="17">
        <f>Table1[[#This Row],[Price]]-Table1[[#This Row],[Competitor Pricing]]</f>
        <v>-1.5300000000000011</v>
      </c>
    </row>
    <row r="76" spans="1:17" x14ac:dyDescent="0.3">
      <c r="A76" s="20">
        <v>44562</v>
      </c>
      <c r="B76" s="6" t="s">
        <v>55</v>
      </c>
      <c r="C76" s="6" t="s">
        <v>47</v>
      </c>
      <c r="D76" s="6" t="s">
        <v>38</v>
      </c>
      <c r="E76" s="6" t="s">
        <v>23</v>
      </c>
      <c r="F76" s="7">
        <v>228</v>
      </c>
      <c r="G76" s="7">
        <v>181</v>
      </c>
      <c r="H76" s="7">
        <v>127</v>
      </c>
      <c r="I76" s="8">
        <v>171.96</v>
      </c>
      <c r="J76" s="8">
        <v>60.54</v>
      </c>
      <c r="K76" s="7">
        <v>5</v>
      </c>
      <c r="L76" s="6" t="s">
        <v>29</v>
      </c>
      <c r="M76" s="6">
        <v>0</v>
      </c>
      <c r="N76" s="8">
        <v>65.27</v>
      </c>
      <c r="O76" s="25" t="s">
        <v>20</v>
      </c>
      <c r="P76" s="14">
        <f t="shared" si="1"/>
        <v>0.79385964912280704</v>
      </c>
      <c r="Q76" s="17">
        <f>Table1[[#This Row],[Price]]-Table1[[#This Row],[Competitor Pricing]]</f>
        <v>-4.7299999999999969</v>
      </c>
    </row>
    <row r="77" spans="1:17" x14ac:dyDescent="0.3">
      <c r="A77" s="21">
        <v>44562</v>
      </c>
      <c r="B77" s="9" t="s">
        <v>55</v>
      </c>
      <c r="C77" s="9" t="s">
        <v>48</v>
      </c>
      <c r="D77" s="9" t="s">
        <v>17</v>
      </c>
      <c r="E77" s="9" t="s">
        <v>23</v>
      </c>
      <c r="F77" s="10">
        <v>263</v>
      </c>
      <c r="G77" s="10">
        <v>94</v>
      </c>
      <c r="H77" s="10">
        <v>24</v>
      </c>
      <c r="I77" s="11">
        <v>98.05</v>
      </c>
      <c r="J77" s="11">
        <v>94.26</v>
      </c>
      <c r="K77" s="10">
        <v>15</v>
      </c>
      <c r="L77" s="9" t="s">
        <v>19</v>
      </c>
      <c r="M77" s="9">
        <v>0</v>
      </c>
      <c r="N77" s="11">
        <v>96.74</v>
      </c>
      <c r="O77" s="26" t="s">
        <v>27</v>
      </c>
      <c r="P77" s="14">
        <f t="shared" si="1"/>
        <v>0.35741444866920152</v>
      </c>
      <c r="Q77" s="17">
        <f>Table1[[#This Row],[Price]]-Table1[[#This Row],[Competitor Pricing]]</f>
        <v>-2.4799999999999898</v>
      </c>
    </row>
    <row r="78" spans="1:17" x14ac:dyDescent="0.3">
      <c r="A78" s="20">
        <v>44562</v>
      </c>
      <c r="B78" s="6" t="s">
        <v>55</v>
      </c>
      <c r="C78" s="6" t="s">
        <v>49</v>
      </c>
      <c r="D78" s="6" t="s">
        <v>31</v>
      </c>
      <c r="E78" s="6" t="s">
        <v>23</v>
      </c>
      <c r="F78" s="7">
        <v>203</v>
      </c>
      <c r="G78" s="7">
        <v>46</v>
      </c>
      <c r="H78" s="7">
        <v>75</v>
      </c>
      <c r="I78" s="8">
        <v>55.12</v>
      </c>
      <c r="J78" s="8">
        <v>25.55</v>
      </c>
      <c r="K78" s="7">
        <v>0</v>
      </c>
      <c r="L78" s="6" t="s">
        <v>19</v>
      </c>
      <c r="M78" s="6">
        <v>0</v>
      </c>
      <c r="N78" s="8">
        <v>28.07</v>
      </c>
      <c r="O78" s="25" t="s">
        <v>34</v>
      </c>
      <c r="P78" s="14">
        <f t="shared" si="1"/>
        <v>0.22660098522167488</v>
      </c>
      <c r="Q78" s="17">
        <f>Table1[[#This Row],[Price]]-Table1[[#This Row],[Competitor Pricing]]</f>
        <v>-2.5199999999999996</v>
      </c>
    </row>
    <row r="79" spans="1:17" x14ac:dyDescent="0.3">
      <c r="A79" s="21">
        <v>44562</v>
      </c>
      <c r="B79" s="9" t="s">
        <v>55</v>
      </c>
      <c r="C79" s="9" t="s">
        <v>50</v>
      </c>
      <c r="D79" s="9" t="s">
        <v>17</v>
      </c>
      <c r="E79" s="9" t="s">
        <v>26</v>
      </c>
      <c r="F79" s="10">
        <v>143</v>
      </c>
      <c r="G79" s="10">
        <v>8</v>
      </c>
      <c r="H79" s="10">
        <v>27</v>
      </c>
      <c r="I79" s="11">
        <v>27.3</v>
      </c>
      <c r="J79" s="11">
        <v>16.73</v>
      </c>
      <c r="K79" s="10">
        <v>5</v>
      </c>
      <c r="L79" s="9" t="s">
        <v>29</v>
      </c>
      <c r="M79" s="9">
        <v>1</v>
      </c>
      <c r="N79" s="11">
        <v>18.79</v>
      </c>
      <c r="O79" s="26" t="s">
        <v>39</v>
      </c>
      <c r="P79" s="14">
        <f t="shared" si="1"/>
        <v>5.5944055944055944E-2</v>
      </c>
      <c r="Q79" s="17">
        <f>Table1[[#This Row],[Price]]-Table1[[#This Row],[Competitor Pricing]]</f>
        <v>-2.0599999999999987</v>
      </c>
    </row>
    <row r="80" spans="1:17" x14ac:dyDescent="0.3">
      <c r="A80" s="20">
        <v>44562</v>
      </c>
      <c r="B80" s="6" t="s">
        <v>55</v>
      </c>
      <c r="C80" s="6" t="s">
        <v>51</v>
      </c>
      <c r="D80" s="6" t="s">
        <v>17</v>
      </c>
      <c r="E80" s="6" t="s">
        <v>26</v>
      </c>
      <c r="F80" s="7">
        <v>359</v>
      </c>
      <c r="G80" s="7">
        <v>172</v>
      </c>
      <c r="H80" s="7">
        <v>125</v>
      </c>
      <c r="I80" s="8">
        <v>181.25</v>
      </c>
      <c r="J80" s="8">
        <v>71.2</v>
      </c>
      <c r="K80" s="7">
        <v>15</v>
      </c>
      <c r="L80" s="6" t="s">
        <v>19</v>
      </c>
      <c r="M80" s="6">
        <v>1</v>
      </c>
      <c r="N80" s="8">
        <v>73.849999999999994</v>
      </c>
      <c r="O80" s="25" t="s">
        <v>39</v>
      </c>
      <c r="P80" s="14">
        <f t="shared" si="1"/>
        <v>0.47910863509749302</v>
      </c>
      <c r="Q80" s="17">
        <f>Table1[[#This Row],[Price]]-Table1[[#This Row],[Competitor Pricing]]</f>
        <v>-2.6499999999999915</v>
      </c>
    </row>
    <row r="81" spans="1:17" x14ac:dyDescent="0.3">
      <c r="A81" s="21">
        <v>44562</v>
      </c>
      <c r="B81" s="9" t="s">
        <v>55</v>
      </c>
      <c r="C81" s="9" t="s">
        <v>52</v>
      </c>
      <c r="D81" s="9" t="s">
        <v>38</v>
      </c>
      <c r="E81" s="9" t="s">
        <v>26</v>
      </c>
      <c r="F81" s="10">
        <v>211</v>
      </c>
      <c r="G81" s="10">
        <v>68</v>
      </c>
      <c r="H81" s="10">
        <v>37</v>
      </c>
      <c r="I81" s="11">
        <v>86.27</v>
      </c>
      <c r="J81" s="11">
        <v>11.5</v>
      </c>
      <c r="K81" s="10">
        <v>20</v>
      </c>
      <c r="L81" s="9" t="s">
        <v>44</v>
      </c>
      <c r="M81" s="9">
        <v>0</v>
      </c>
      <c r="N81" s="11">
        <v>9.26</v>
      </c>
      <c r="O81" s="26" t="s">
        <v>34</v>
      </c>
      <c r="P81" s="14">
        <f t="shared" si="1"/>
        <v>0.32227488151658767</v>
      </c>
      <c r="Q81" s="17">
        <f>Table1[[#This Row],[Price]]-Table1[[#This Row],[Competitor Pricing]]</f>
        <v>2.2400000000000002</v>
      </c>
    </row>
    <row r="82" spans="1:17" x14ac:dyDescent="0.3">
      <c r="A82" s="20">
        <v>44562</v>
      </c>
      <c r="B82" s="6" t="s">
        <v>56</v>
      </c>
      <c r="C82" s="6" t="s">
        <v>16</v>
      </c>
      <c r="D82" s="6" t="s">
        <v>22</v>
      </c>
      <c r="E82" s="6" t="s">
        <v>26</v>
      </c>
      <c r="F82" s="7">
        <v>111</v>
      </c>
      <c r="G82" s="7">
        <v>77</v>
      </c>
      <c r="H82" s="7">
        <v>60</v>
      </c>
      <c r="I82" s="8">
        <v>83.47</v>
      </c>
      <c r="J82" s="8">
        <v>70.33</v>
      </c>
      <c r="K82" s="7">
        <v>10</v>
      </c>
      <c r="L82" s="6" t="s">
        <v>29</v>
      </c>
      <c r="M82" s="6">
        <v>0</v>
      </c>
      <c r="N82" s="8">
        <v>70.290000000000006</v>
      </c>
      <c r="O82" s="25" t="s">
        <v>34</v>
      </c>
      <c r="P82" s="14">
        <f t="shared" si="1"/>
        <v>0.69369369369369371</v>
      </c>
      <c r="Q82" s="17">
        <f>Table1[[#This Row],[Price]]-Table1[[#This Row],[Competitor Pricing]]</f>
        <v>3.9999999999992042E-2</v>
      </c>
    </row>
    <row r="83" spans="1:17" x14ac:dyDescent="0.3">
      <c r="A83" s="21">
        <v>44562</v>
      </c>
      <c r="B83" s="9" t="s">
        <v>56</v>
      </c>
      <c r="C83" s="9" t="s">
        <v>21</v>
      </c>
      <c r="D83" s="9" t="s">
        <v>38</v>
      </c>
      <c r="E83" s="9" t="s">
        <v>26</v>
      </c>
      <c r="F83" s="10">
        <v>415</v>
      </c>
      <c r="G83" s="10">
        <v>298</v>
      </c>
      <c r="H83" s="10">
        <v>107</v>
      </c>
      <c r="I83" s="11">
        <v>292.95999999999998</v>
      </c>
      <c r="J83" s="11">
        <v>57.15</v>
      </c>
      <c r="K83" s="10">
        <v>5</v>
      </c>
      <c r="L83" s="9" t="s">
        <v>44</v>
      </c>
      <c r="M83" s="9">
        <v>1</v>
      </c>
      <c r="N83" s="11">
        <v>60.71</v>
      </c>
      <c r="O83" s="26" t="s">
        <v>20</v>
      </c>
      <c r="P83" s="14">
        <f t="shared" si="1"/>
        <v>0.71807228915662646</v>
      </c>
      <c r="Q83" s="17">
        <f>Table1[[#This Row],[Price]]-Table1[[#This Row],[Competitor Pricing]]</f>
        <v>-3.5600000000000023</v>
      </c>
    </row>
    <row r="84" spans="1:17" x14ac:dyDescent="0.3">
      <c r="A84" s="20">
        <v>44562</v>
      </c>
      <c r="B84" s="6" t="s">
        <v>56</v>
      </c>
      <c r="C84" s="6" t="s">
        <v>25</v>
      </c>
      <c r="D84" s="6" t="s">
        <v>31</v>
      </c>
      <c r="E84" s="6" t="s">
        <v>18</v>
      </c>
      <c r="F84" s="7">
        <v>384</v>
      </c>
      <c r="G84" s="7">
        <v>64</v>
      </c>
      <c r="H84" s="7">
        <v>26</v>
      </c>
      <c r="I84" s="8">
        <v>76.02</v>
      </c>
      <c r="J84" s="8">
        <v>36.17</v>
      </c>
      <c r="K84" s="7">
        <v>5</v>
      </c>
      <c r="L84" s="6" t="s">
        <v>24</v>
      </c>
      <c r="M84" s="6">
        <v>0</v>
      </c>
      <c r="N84" s="8">
        <v>40.93</v>
      </c>
      <c r="O84" s="25" t="s">
        <v>39</v>
      </c>
      <c r="P84" s="14">
        <f t="shared" si="1"/>
        <v>0.16666666666666666</v>
      </c>
      <c r="Q84" s="17">
        <f>Table1[[#This Row],[Price]]-Table1[[#This Row],[Competitor Pricing]]</f>
        <v>-4.759999999999998</v>
      </c>
    </row>
    <row r="85" spans="1:17" x14ac:dyDescent="0.3">
      <c r="A85" s="21">
        <v>44562</v>
      </c>
      <c r="B85" s="9" t="s">
        <v>56</v>
      </c>
      <c r="C85" s="9" t="s">
        <v>28</v>
      </c>
      <c r="D85" s="9" t="s">
        <v>36</v>
      </c>
      <c r="E85" s="9" t="s">
        <v>26</v>
      </c>
      <c r="F85" s="10">
        <v>436</v>
      </c>
      <c r="G85" s="10">
        <v>300</v>
      </c>
      <c r="H85" s="10">
        <v>174</v>
      </c>
      <c r="I85" s="11">
        <v>292.04000000000002</v>
      </c>
      <c r="J85" s="11">
        <v>50.77</v>
      </c>
      <c r="K85" s="10">
        <v>15</v>
      </c>
      <c r="L85" s="9" t="s">
        <v>44</v>
      </c>
      <c r="M85" s="9">
        <v>1</v>
      </c>
      <c r="N85" s="11">
        <v>54.7</v>
      </c>
      <c r="O85" s="26" t="s">
        <v>39</v>
      </c>
      <c r="P85" s="14">
        <f t="shared" si="1"/>
        <v>0.68807339449541283</v>
      </c>
      <c r="Q85" s="17">
        <f>Table1[[#This Row],[Price]]-Table1[[#This Row],[Competitor Pricing]]</f>
        <v>-3.9299999999999997</v>
      </c>
    </row>
    <row r="86" spans="1:17" x14ac:dyDescent="0.3">
      <c r="A86" s="20">
        <v>44562</v>
      </c>
      <c r="B86" s="6" t="s">
        <v>56</v>
      </c>
      <c r="C86" s="6" t="s">
        <v>30</v>
      </c>
      <c r="D86" s="6" t="s">
        <v>38</v>
      </c>
      <c r="E86" s="6" t="s">
        <v>26</v>
      </c>
      <c r="F86" s="7">
        <v>180</v>
      </c>
      <c r="G86" s="7">
        <v>21</v>
      </c>
      <c r="H86" s="7">
        <v>47</v>
      </c>
      <c r="I86" s="8">
        <v>38.630000000000003</v>
      </c>
      <c r="J86" s="8">
        <v>92.86</v>
      </c>
      <c r="K86" s="7">
        <v>15</v>
      </c>
      <c r="L86" s="6" t="s">
        <v>19</v>
      </c>
      <c r="M86" s="6">
        <v>1</v>
      </c>
      <c r="N86" s="8">
        <v>96.3</v>
      </c>
      <c r="O86" s="25" t="s">
        <v>34</v>
      </c>
      <c r="P86" s="14">
        <f t="shared" si="1"/>
        <v>0.11666666666666667</v>
      </c>
      <c r="Q86" s="17">
        <f>Table1[[#This Row],[Price]]-Table1[[#This Row],[Competitor Pricing]]</f>
        <v>-3.4399999999999977</v>
      </c>
    </row>
    <row r="87" spans="1:17" x14ac:dyDescent="0.3">
      <c r="A87" s="21">
        <v>44562</v>
      </c>
      <c r="B87" s="9" t="s">
        <v>56</v>
      </c>
      <c r="C87" s="9" t="s">
        <v>33</v>
      </c>
      <c r="D87" s="9" t="s">
        <v>17</v>
      </c>
      <c r="E87" s="9" t="s">
        <v>18</v>
      </c>
      <c r="F87" s="10">
        <v>185</v>
      </c>
      <c r="G87" s="10">
        <v>176</v>
      </c>
      <c r="H87" s="10">
        <v>163</v>
      </c>
      <c r="I87" s="11">
        <v>174.06</v>
      </c>
      <c r="J87" s="11">
        <v>60.76</v>
      </c>
      <c r="K87" s="10">
        <v>20</v>
      </c>
      <c r="L87" s="9" t="s">
        <v>29</v>
      </c>
      <c r="M87" s="9">
        <v>0</v>
      </c>
      <c r="N87" s="11">
        <v>61.15</v>
      </c>
      <c r="O87" s="26" t="s">
        <v>27</v>
      </c>
      <c r="P87" s="14">
        <f t="shared" si="1"/>
        <v>0.9513513513513514</v>
      </c>
      <c r="Q87" s="17">
        <f>Table1[[#This Row],[Price]]-Table1[[#This Row],[Competitor Pricing]]</f>
        <v>-0.39000000000000057</v>
      </c>
    </row>
    <row r="88" spans="1:17" x14ac:dyDescent="0.3">
      <c r="A88" s="20">
        <v>44562</v>
      </c>
      <c r="B88" s="6" t="s">
        <v>56</v>
      </c>
      <c r="C88" s="6" t="s">
        <v>35</v>
      </c>
      <c r="D88" s="6" t="s">
        <v>38</v>
      </c>
      <c r="E88" s="6" t="s">
        <v>23</v>
      </c>
      <c r="F88" s="7">
        <v>292</v>
      </c>
      <c r="G88" s="7">
        <v>131</v>
      </c>
      <c r="H88" s="7">
        <v>140</v>
      </c>
      <c r="I88" s="8">
        <v>122.6</v>
      </c>
      <c r="J88" s="8">
        <v>46.47</v>
      </c>
      <c r="K88" s="7">
        <v>15</v>
      </c>
      <c r="L88" s="6" t="s">
        <v>44</v>
      </c>
      <c r="M88" s="6">
        <v>0</v>
      </c>
      <c r="N88" s="8">
        <v>50.84</v>
      </c>
      <c r="O88" s="25" t="s">
        <v>27</v>
      </c>
      <c r="P88" s="14">
        <f t="shared" si="1"/>
        <v>0.44863013698630139</v>
      </c>
      <c r="Q88" s="17">
        <f>Table1[[#This Row],[Price]]-Table1[[#This Row],[Competitor Pricing]]</f>
        <v>-4.3700000000000045</v>
      </c>
    </row>
    <row r="89" spans="1:17" x14ac:dyDescent="0.3">
      <c r="A89" s="21">
        <v>44562</v>
      </c>
      <c r="B89" s="9" t="s">
        <v>56</v>
      </c>
      <c r="C89" s="9" t="s">
        <v>37</v>
      </c>
      <c r="D89" s="9" t="s">
        <v>22</v>
      </c>
      <c r="E89" s="9" t="s">
        <v>26</v>
      </c>
      <c r="F89" s="10">
        <v>478</v>
      </c>
      <c r="G89" s="10">
        <v>317</v>
      </c>
      <c r="H89" s="10">
        <v>197</v>
      </c>
      <c r="I89" s="11">
        <v>328.64</v>
      </c>
      <c r="J89" s="11">
        <v>34.08</v>
      </c>
      <c r="K89" s="10">
        <v>5</v>
      </c>
      <c r="L89" s="9" t="s">
        <v>44</v>
      </c>
      <c r="M89" s="9">
        <v>1</v>
      </c>
      <c r="N89" s="11">
        <v>30.44</v>
      </c>
      <c r="O89" s="26" t="s">
        <v>34</v>
      </c>
      <c r="P89" s="14">
        <f t="shared" si="1"/>
        <v>0.66317991631799167</v>
      </c>
      <c r="Q89" s="17">
        <f>Table1[[#This Row],[Price]]-Table1[[#This Row],[Competitor Pricing]]</f>
        <v>3.639999999999997</v>
      </c>
    </row>
    <row r="90" spans="1:17" x14ac:dyDescent="0.3">
      <c r="A90" s="20">
        <v>44562</v>
      </c>
      <c r="B90" s="6" t="s">
        <v>56</v>
      </c>
      <c r="C90" s="6" t="s">
        <v>40</v>
      </c>
      <c r="D90" s="6" t="s">
        <v>17</v>
      </c>
      <c r="E90" s="6" t="s">
        <v>26</v>
      </c>
      <c r="F90" s="7">
        <v>182</v>
      </c>
      <c r="G90" s="7">
        <v>97</v>
      </c>
      <c r="H90" s="7">
        <v>27</v>
      </c>
      <c r="I90" s="8">
        <v>92.62</v>
      </c>
      <c r="J90" s="8">
        <v>87.81</v>
      </c>
      <c r="K90" s="7">
        <v>5</v>
      </c>
      <c r="L90" s="6" t="s">
        <v>44</v>
      </c>
      <c r="M90" s="6">
        <v>0</v>
      </c>
      <c r="N90" s="8">
        <v>85.45</v>
      </c>
      <c r="O90" s="25" t="s">
        <v>39</v>
      </c>
      <c r="P90" s="14">
        <f t="shared" si="1"/>
        <v>0.53296703296703296</v>
      </c>
      <c r="Q90" s="17">
        <f>Table1[[#This Row],[Price]]-Table1[[#This Row],[Competitor Pricing]]</f>
        <v>2.3599999999999994</v>
      </c>
    </row>
    <row r="91" spans="1:17" x14ac:dyDescent="0.3">
      <c r="A91" s="21">
        <v>44562</v>
      </c>
      <c r="B91" s="9" t="s">
        <v>56</v>
      </c>
      <c r="C91" s="9" t="s">
        <v>41</v>
      </c>
      <c r="D91" s="9" t="s">
        <v>38</v>
      </c>
      <c r="E91" s="9" t="s">
        <v>32</v>
      </c>
      <c r="F91" s="10">
        <v>87</v>
      </c>
      <c r="G91" s="10">
        <v>8</v>
      </c>
      <c r="H91" s="10">
        <v>141</v>
      </c>
      <c r="I91" s="11">
        <v>14.38</v>
      </c>
      <c r="J91" s="11">
        <v>37.04</v>
      </c>
      <c r="K91" s="10">
        <v>10</v>
      </c>
      <c r="L91" s="9" t="s">
        <v>19</v>
      </c>
      <c r="M91" s="9">
        <v>1</v>
      </c>
      <c r="N91" s="11">
        <v>36.869999999999997</v>
      </c>
      <c r="O91" s="26" t="s">
        <v>27</v>
      </c>
      <c r="P91" s="14">
        <f t="shared" si="1"/>
        <v>9.1954022988505746E-2</v>
      </c>
      <c r="Q91" s="17">
        <f>Table1[[#This Row],[Price]]-Table1[[#This Row],[Competitor Pricing]]</f>
        <v>0.17000000000000171</v>
      </c>
    </row>
    <row r="92" spans="1:17" x14ac:dyDescent="0.3">
      <c r="A92" s="20">
        <v>44562</v>
      </c>
      <c r="B92" s="6" t="s">
        <v>56</v>
      </c>
      <c r="C92" s="6" t="s">
        <v>42</v>
      </c>
      <c r="D92" s="6" t="s">
        <v>17</v>
      </c>
      <c r="E92" s="6" t="s">
        <v>26</v>
      </c>
      <c r="F92" s="7">
        <v>427</v>
      </c>
      <c r="G92" s="7">
        <v>104</v>
      </c>
      <c r="H92" s="7">
        <v>128</v>
      </c>
      <c r="I92" s="8">
        <v>94.65</v>
      </c>
      <c r="J92" s="8">
        <v>54.12</v>
      </c>
      <c r="K92" s="7">
        <v>10</v>
      </c>
      <c r="L92" s="6" t="s">
        <v>19</v>
      </c>
      <c r="M92" s="6">
        <v>1</v>
      </c>
      <c r="N92" s="8">
        <v>53.03</v>
      </c>
      <c r="O92" s="25" t="s">
        <v>27</v>
      </c>
      <c r="P92" s="14">
        <f t="shared" si="1"/>
        <v>0.24355971896955503</v>
      </c>
      <c r="Q92" s="17">
        <f>Table1[[#This Row],[Price]]-Table1[[#This Row],[Competitor Pricing]]</f>
        <v>1.0899999999999963</v>
      </c>
    </row>
    <row r="93" spans="1:17" x14ac:dyDescent="0.3">
      <c r="A93" s="21">
        <v>44562</v>
      </c>
      <c r="B93" s="9" t="s">
        <v>56</v>
      </c>
      <c r="C93" s="9" t="s">
        <v>43</v>
      </c>
      <c r="D93" s="9" t="s">
        <v>31</v>
      </c>
      <c r="E93" s="9" t="s">
        <v>26</v>
      </c>
      <c r="F93" s="10">
        <v>245</v>
      </c>
      <c r="G93" s="10">
        <v>87</v>
      </c>
      <c r="H93" s="10">
        <v>188</v>
      </c>
      <c r="I93" s="11">
        <v>90.59</v>
      </c>
      <c r="J93" s="11">
        <v>67.64</v>
      </c>
      <c r="K93" s="10">
        <v>15</v>
      </c>
      <c r="L93" s="9" t="s">
        <v>24</v>
      </c>
      <c r="M93" s="9">
        <v>0</v>
      </c>
      <c r="N93" s="11">
        <v>63.53</v>
      </c>
      <c r="O93" s="26" t="s">
        <v>27</v>
      </c>
      <c r="P93" s="14">
        <f t="shared" si="1"/>
        <v>0.35510204081632651</v>
      </c>
      <c r="Q93" s="17">
        <f>Table1[[#This Row],[Price]]-Table1[[#This Row],[Competitor Pricing]]</f>
        <v>4.1099999999999994</v>
      </c>
    </row>
    <row r="94" spans="1:17" x14ac:dyDescent="0.3">
      <c r="A94" s="20">
        <v>44562</v>
      </c>
      <c r="B94" s="6" t="s">
        <v>56</v>
      </c>
      <c r="C94" s="6" t="s">
        <v>45</v>
      </c>
      <c r="D94" s="6" t="s">
        <v>36</v>
      </c>
      <c r="E94" s="6" t="s">
        <v>23</v>
      </c>
      <c r="F94" s="7">
        <v>317</v>
      </c>
      <c r="G94" s="7">
        <v>238</v>
      </c>
      <c r="H94" s="7">
        <v>95</v>
      </c>
      <c r="I94" s="8">
        <v>256.57</v>
      </c>
      <c r="J94" s="8">
        <v>82.18</v>
      </c>
      <c r="K94" s="7">
        <v>5</v>
      </c>
      <c r="L94" s="6" t="s">
        <v>29</v>
      </c>
      <c r="M94" s="6">
        <v>0</v>
      </c>
      <c r="N94" s="8">
        <v>87.09</v>
      </c>
      <c r="O94" s="25" t="s">
        <v>27</v>
      </c>
      <c r="P94" s="14">
        <f t="shared" si="1"/>
        <v>0.75078864353312302</v>
      </c>
      <c r="Q94" s="17">
        <f>Table1[[#This Row],[Price]]-Table1[[#This Row],[Competitor Pricing]]</f>
        <v>-4.9099999999999966</v>
      </c>
    </row>
    <row r="95" spans="1:17" x14ac:dyDescent="0.3">
      <c r="A95" s="21">
        <v>44562</v>
      </c>
      <c r="B95" s="9" t="s">
        <v>56</v>
      </c>
      <c r="C95" s="9" t="s">
        <v>46</v>
      </c>
      <c r="D95" s="9" t="s">
        <v>31</v>
      </c>
      <c r="E95" s="9" t="s">
        <v>23</v>
      </c>
      <c r="F95" s="10">
        <v>325</v>
      </c>
      <c r="G95" s="10">
        <v>171</v>
      </c>
      <c r="H95" s="10">
        <v>43</v>
      </c>
      <c r="I95" s="11">
        <v>188.55</v>
      </c>
      <c r="J95" s="11">
        <v>42.62</v>
      </c>
      <c r="K95" s="10">
        <v>20</v>
      </c>
      <c r="L95" s="9" t="s">
        <v>29</v>
      </c>
      <c r="M95" s="9">
        <v>1</v>
      </c>
      <c r="N95" s="11">
        <v>42.01</v>
      </c>
      <c r="O95" s="26" t="s">
        <v>20</v>
      </c>
      <c r="P95" s="14">
        <f t="shared" si="1"/>
        <v>0.52615384615384619</v>
      </c>
      <c r="Q95" s="17">
        <f>Table1[[#This Row],[Price]]-Table1[[#This Row],[Competitor Pricing]]</f>
        <v>0.60999999999999943</v>
      </c>
    </row>
    <row r="96" spans="1:17" x14ac:dyDescent="0.3">
      <c r="A96" s="20">
        <v>44562</v>
      </c>
      <c r="B96" s="6" t="s">
        <v>56</v>
      </c>
      <c r="C96" s="6" t="s">
        <v>47</v>
      </c>
      <c r="D96" s="6" t="s">
        <v>36</v>
      </c>
      <c r="E96" s="6" t="s">
        <v>26</v>
      </c>
      <c r="F96" s="7">
        <v>411</v>
      </c>
      <c r="G96" s="7">
        <v>250</v>
      </c>
      <c r="H96" s="7">
        <v>119</v>
      </c>
      <c r="I96" s="8">
        <v>260.79000000000002</v>
      </c>
      <c r="J96" s="8">
        <v>11.54</v>
      </c>
      <c r="K96" s="7">
        <v>10</v>
      </c>
      <c r="L96" s="6" t="s">
        <v>29</v>
      </c>
      <c r="M96" s="6">
        <v>0</v>
      </c>
      <c r="N96" s="8">
        <v>11.27</v>
      </c>
      <c r="O96" s="25" t="s">
        <v>39</v>
      </c>
      <c r="P96" s="14">
        <f t="shared" si="1"/>
        <v>0.6082725060827251</v>
      </c>
      <c r="Q96" s="17">
        <f>Table1[[#This Row],[Price]]-Table1[[#This Row],[Competitor Pricing]]</f>
        <v>0.26999999999999957</v>
      </c>
    </row>
    <row r="97" spans="1:17" x14ac:dyDescent="0.3">
      <c r="A97" s="21">
        <v>44562</v>
      </c>
      <c r="B97" s="9" t="s">
        <v>56</v>
      </c>
      <c r="C97" s="9" t="s">
        <v>48</v>
      </c>
      <c r="D97" s="9" t="s">
        <v>38</v>
      </c>
      <c r="E97" s="9" t="s">
        <v>23</v>
      </c>
      <c r="F97" s="10">
        <v>71</v>
      </c>
      <c r="G97" s="10">
        <v>11</v>
      </c>
      <c r="H97" s="10">
        <v>32</v>
      </c>
      <c r="I97" s="11">
        <v>1.85</v>
      </c>
      <c r="J97" s="11">
        <v>16.3</v>
      </c>
      <c r="K97" s="10">
        <v>5</v>
      </c>
      <c r="L97" s="9" t="s">
        <v>24</v>
      </c>
      <c r="M97" s="9">
        <v>0</v>
      </c>
      <c r="N97" s="11">
        <v>17.98</v>
      </c>
      <c r="O97" s="26" t="s">
        <v>34</v>
      </c>
      <c r="P97" s="14">
        <f t="shared" si="1"/>
        <v>0.15492957746478872</v>
      </c>
      <c r="Q97" s="17">
        <f>Table1[[#This Row],[Price]]-Table1[[#This Row],[Competitor Pricing]]</f>
        <v>-1.6799999999999997</v>
      </c>
    </row>
    <row r="98" spans="1:17" x14ac:dyDescent="0.3">
      <c r="A98" s="20">
        <v>44562</v>
      </c>
      <c r="B98" s="6" t="s">
        <v>56</v>
      </c>
      <c r="C98" s="6" t="s">
        <v>49</v>
      </c>
      <c r="D98" s="6" t="s">
        <v>31</v>
      </c>
      <c r="E98" s="6" t="s">
        <v>32</v>
      </c>
      <c r="F98" s="7">
        <v>388</v>
      </c>
      <c r="G98" s="7">
        <v>371</v>
      </c>
      <c r="H98" s="7">
        <v>98</v>
      </c>
      <c r="I98" s="8">
        <v>390.04</v>
      </c>
      <c r="J98" s="8">
        <v>98.31</v>
      </c>
      <c r="K98" s="7">
        <v>15</v>
      </c>
      <c r="L98" s="6" t="s">
        <v>24</v>
      </c>
      <c r="M98" s="6">
        <v>1</v>
      </c>
      <c r="N98" s="8">
        <v>102.42</v>
      </c>
      <c r="O98" s="25" t="s">
        <v>39</v>
      </c>
      <c r="P98" s="14">
        <f t="shared" si="1"/>
        <v>0.95618556701030932</v>
      </c>
      <c r="Q98" s="17">
        <f>Table1[[#This Row],[Price]]-Table1[[#This Row],[Competitor Pricing]]</f>
        <v>-4.1099999999999994</v>
      </c>
    </row>
    <row r="99" spans="1:17" x14ac:dyDescent="0.3">
      <c r="A99" s="21">
        <v>44562</v>
      </c>
      <c r="B99" s="9" t="s">
        <v>56</v>
      </c>
      <c r="C99" s="9" t="s">
        <v>50</v>
      </c>
      <c r="D99" s="9" t="s">
        <v>36</v>
      </c>
      <c r="E99" s="9" t="s">
        <v>26</v>
      </c>
      <c r="F99" s="10">
        <v>161</v>
      </c>
      <c r="G99" s="10">
        <v>107</v>
      </c>
      <c r="H99" s="10">
        <v>66</v>
      </c>
      <c r="I99" s="11">
        <v>103.97</v>
      </c>
      <c r="J99" s="11">
        <v>48.96</v>
      </c>
      <c r="K99" s="10">
        <v>10</v>
      </c>
      <c r="L99" s="9" t="s">
        <v>44</v>
      </c>
      <c r="M99" s="9">
        <v>1</v>
      </c>
      <c r="N99" s="11">
        <v>50.03</v>
      </c>
      <c r="O99" s="26" t="s">
        <v>39</v>
      </c>
      <c r="P99" s="14">
        <f t="shared" si="1"/>
        <v>0.6645962732919255</v>
      </c>
      <c r="Q99" s="17">
        <f>Table1[[#This Row],[Price]]-Table1[[#This Row],[Competitor Pricing]]</f>
        <v>-1.0700000000000003</v>
      </c>
    </row>
    <row r="100" spans="1:17" x14ac:dyDescent="0.3">
      <c r="A100" s="20">
        <v>44562</v>
      </c>
      <c r="B100" s="6" t="s">
        <v>56</v>
      </c>
      <c r="C100" s="6" t="s">
        <v>51</v>
      </c>
      <c r="D100" s="6" t="s">
        <v>17</v>
      </c>
      <c r="E100" s="6" t="s">
        <v>23</v>
      </c>
      <c r="F100" s="7">
        <v>235</v>
      </c>
      <c r="G100" s="7">
        <v>106</v>
      </c>
      <c r="H100" s="7">
        <v>124</v>
      </c>
      <c r="I100" s="8">
        <v>119.33</v>
      </c>
      <c r="J100" s="8">
        <v>88.22</v>
      </c>
      <c r="K100" s="7">
        <v>5</v>
      </c>
      <c r="L100" s="6" t="s">
        <v>19</v>
      </c>
      <c r="M100" s="6">
        <v>0</v>
      </c>
      <c r="N100" s="8">
        <v>91.16</v>
      </c>
      <c r="O100" s="25" t="s">
        <v>39</v>
      </c>
      <c r="P100" s="14">
        <f t="shared" si="1"/>
        <v>0.45106382978723403</v>
      </c>
      <c r="Q100" s="17">
        <f>Table1[[#This Row],[Price]]-Table1[[#This Row],[Competitor Pricing]]</f>
        <v>-2.9399999999999977</v>
      </c>
    </row>
    <row r="101" spans="1:17" x14ac:dyDescent="0.3">
      <c r="A101" s="21">
        <v>44562</v>
      </c>
      <c r="B101" s="9" t="s">
        <v>56</v>
      </c>
      <c r="C101" s="9" t="s">
        <v>52</v>
      </c>
      <c r="D101" s="9" t="s">
        <v>31</v>
      </c>
      <c r="E101" s="9" t="s">
        <v>23</v>
      </c>
      <c r="F101" s="10">
        <v>108</v>
      </c>
      <c r="G101" s="10">
        <v>101</v>
      </c>
      <c r="H101" s="10">
        <v>52</v>
      </c>
      <c r="I101" s="11">
        <v>105.92</v>
      </c>
      <c r="J101" s="11">
        <v>11.04</v>
      </c>
      <c r="K101" s="10">
        <v>10</v>
      </c>
      <c r="L101" s="9" t="s">
        <v>44</v>
      </c>
      <c r="M101" s="9">
        <v>1</v>
      </c>
      <c r="N101" s="11">
        <v>9.14</v>
      </c>
      <c r="O101" s="26" t="s">
        <v>20</v>
      </c>
      <c r="P101" s="14">
        <f t="shared" si="1"/>
        <v>0.93518518518518523</v>
      </c>
      <c r="Q101" s="17">
        <f>Table1[[#This Row],[Price]]-Table1[[#This Row],[Competitor Pricing]]</f>
        <v>1.8999999999999986</v>
      </c>
    </row>
    <row r="102" spans="1:17" x14ac:dyDescent="0.3">
      <c r="A102" s="20">
        <v>44563</v>
      </c>
      <c r="B102" s="6" t="s">
        <v>15</v>
      </c>
      <c r="C102" s="6" t="s">
        <v>16</v>
      </c>
      <c r="D102" s="6" t="s">
        <v>17</v>
      </c>
      <c r="E102" s="6" t="s">
        <v>26</v>
      </c>
      <c r="F102" s="7">
        <v>116</v>
      </c>
      <c r="G102" s="7">
        <v>81</v>
      </c>
      <c r="H102" s="7">
        <v>104</v>
      </c>
      <c r="I102" s="8">
        <v>92.94</v>
      </c>
      <c r="J102" s="8">
        <v>27.95</v>
      </c>
      <c r="K102" s="7">
        <v>10</v>
      </c>
      <c r="L102" s="6" t="s">
        <v>29</v>
      </c>
      <c r="M102" s="6">
        <v>0</v>
      </c>
      <c r="N102" s="8">
        <v>30.89</v>
      </c>
      <c r="O102" s="25" t="s">
        <v>39</v>
      </c>
      <c r="P102" s="14">
        <f t="shared" si="1"/>
        <v>0.69827586206896552</v>
      </c>
      <c r="Q102" s="17">
        <f>Table1[[#This Row],[Price]]-Table1[[#This Row],[Competitor Pricing]]</f>
        <v>-2.9400000000000013</v>
      </c>
    </row>
    <row r="103" spans="1:17" x14ac:dyDescent="0.3">
      <c r="A103" s="21">
        <v>44563</v>
      </c>
      <c r="B103" s="9" t="s">
        <v>15</v>
      </c>
      <c r="C103" s="9" t="s">
        <v>21</v>
      </c>
      <c r="D103" s="9" t="s">
        <v>38</v>
      </c>
      <c r="E103" s="9" t="s">
        <v>26</v>
      </c>
      <c r="F103" s="10">
        <v>416</v>
      </c>
      <c r="G103" s="10">
        <v>163</v>
      </c>
      <c r="H103" s="10">
        <v>79</v>
      </c>
      <c r="I103" s="11">
        <v>171.6</v>
      </c>
      <c r="J103" s="11">
        <v>19.78</v>
      </c>
      <c r="K103" s="10">
        <v>15</v>
      </c>
      <c r="L103" s="9" t="s">
        <v>29</v>
      </c>
      <c r="M103" s="9">
        <v>0</v>
      </c>
      <c r="N103" s="11">
        <v>18.760000000000002</v>
      </c>
      <c r="O103" s="26" t="s">
        <v>39</v>
      </c>
      <c r="P103" s="14">
        <f t="shared" si="1"/>
        <v>0.39182692307692307</v>
      </c>
      <c r="Q103" s="17">
        <f>Table1[[#This Row],[Price]]-Table1[[#This Row],[Competitor Pricing]]</f>
        <v>1.0199999999999996</v>
      </c>
    </row>
    <row r="104" spans="1:17" x14ac:dyDescent="0.3">
      <c r="A104" s="20">
        <v>44563</v>
      </c>
      <c r="B104" s="6" t="s">
        <v>15</v>
      </c>
      <c r="C104" s="6" t="s">
        <v>25</v>
      </c>
      <c r="D104" s="6" t="s">
        <v>38</v>
      </c>
      <c r="E104" s="6" t="s">
        <v>23</v>
      </c>
      <c r="F104" s="7">
        <v>488</v>
      </c>
      <c r="G104" s="7">
        <v>464</v>
      </c>
      <c r="H104" s="7">
        <v>163</v>
      </c>
      <c r="I104" s="8">
        <v>463.12</v>
      </c>
      <c r="J104" s="8">
        <v>70.989999999999995</v>
      </c>
      <c r="K104" s="7">
        <v>10</v>
      </c>
      <c r="L104" s="6" t="s">
        <v>44</v>
      </c>
      <c r="M104" s="6">
        <v>0</v>
      </c>
      <c r="N104" s="8">
        <v>72.930000000000007</v>
      </c>
      <c r="O104" s="25" t="s">
        <v>27</v>
      </c>
      <c r="P104" s="14">
        <f t="shared" si="1"/>
        <v>0.95081967213114749</v>
      </c>
      <c r="Q104" s="17">
        <f>Table1[[#This Row],[Price]]-Table1[[#This Row],[Competitor Pricing]]</f>
        <v>-1.9400000000000119</v>
      </c>
    </row>
    <row r="105" spans="1:17" x14ac:dyDescent="0.3">
      <c r="A105" s="21">
        <v>44563</v>
      </c>
      <c r="B105" s="9" t="s">
        <v>15</v>
      </c>
      <c r="C105" s="9" t="s">
        <v>28</v>
      </c>
      <c r="D105" s="9" t="s">
        <v>17</v>
      </c>
      <c r="E105" s="9" t="s">
        <v>32</v>
      </c>
      <c r="F105" s="10">
        <v>248</v>
      </c>
      <c r="G105" s="10">
        <v>116</v>
      </c>
      <c r="H105" s="10">
        <v>107</v>
      </c>
      <c r="I105" s="11">
        <v>133.91999999999999</v>
      </c>
      <c r="J105" s="11">
        <v>49.56</v>
      </c>
      <c r="K105" s="10">
        <v>5</v>
      </c>
      <c r="L105" s="9" t="s">
        <v>44</v>
      </c>
      <c r="M105" s="9">
        <v>0</v>
      </c>
      <c r="N105" s="11">
        <v>50.46</v>
      </c>
      <c r="O105" s="26" t="s">
        <v>27</v>
      </c>
      <c r="P105" s="14">
        <f t="shared" si="1"/>
        <v>0.46774193548387094</v>
      </c>
      <c r="Q105" s="17">
        <f>Table1[[#This Row],[Price]]-Table1[[#This Row],[Competitor Pricing]]</f>
        <v>-0.89999999999999858</v>
      </c>
    </row>
    <row r="106" spans="1:17" x14ac:dyDescent="0.3">
      <c r="A106" s="20">
        <v>44563</v>
      </c>
      <c r="B106" s="6" t="s">
        <v>15</v>
      </c>
      <c r="C106" s="6" t="s">
        <v>30</v>
      </c>
      <c r="D106" s="6" t="s">
        <v>31</v>
      </c>
      <c r="E106" s="6" t="s">
        <v>32</v>
      </c>
      <c r="F106" s="7">
        <v>238</v>
      </c>
      <c r="G106" s="7">
        <v>200</v>
      </c>
      <c r="H106" s="7">
        <v>40</v>
      </c>
      <c r="I106" s="8">
        <v>204.3</v>
      </c>
      <c r="J106" s="8">
        <v>23.76</v>
      </c>
      <c r="K106" s="7">
        <v>15</v>
      </c>
      <c r="L106" s="6" t="s">
        <v>24</v>
      </c>
      <c r="M106" s="6">
        <v>1</v>
      </c>
      <c r="N106" s="8">
        <v>19.190000000000001</v>
      </c>
      <c r="O106" s="25" t="s">
        <v>27</v>
      </c>
      <c r="P106" s="14">
        <f t="shared" si="1"/>
        <v>0.84033613445378152</v>
      </c>
      <c r="Q106" s="17">
        <f>Table1[[#This Row],[Price]]-Table1[[#This Row],[Competitor Pricing]]</f>
        <v>4.57</v>
      </c>
    </row>
    <row r="107" spans="1:17" x14ac:dyDescent="0.3">
      <c r="A107" s="21">
        <v>44563</v>
      </c>
      <c r="B107" s="9" t="s">
        <v>15</v>
      </c>
      <c r="C107" s="9" t="s">
        <v>33</v>
      </c>
      <c r="D107" s="9" t="s">
        <v>36</v>
      </c>
      <c r="E107" s="9" t="s">
        <v>32</v>
      </c>
      <c r="F107" s="10">
        <v>471</v>
      </c>
      <c r="G107" s="10">
        <v>58</v>
      </c>
      <c r="H107" s="10">
        <v>32</v>
      </c>
      <c r="I107" s="11">
        <v>51.57</v>
      </c>
      <c r="J107" s="11">
        <v>47.56</v>
      </c>
      <c r="K107" s="10">
        <v>0</v>
      </c>
      <c r="L107" s="9" t="s">
        <v>44</v>
      </c>
      <c r="M107" s="9">
        <v>1</v>
      </c>
      <c r="N107" s="11">
        <v>46.82</v>
      </c>
      <c r="O107" s="26" t="s">
        <v>27</v>
      </c>
      <c r="P107" s="14">
        <f t="shared" si="1"/>
        <v>0.12314225053078556</v>
      </c>
      <c r="Q107" s="17">
        <f>Table1[[#This Row],[Price]]-Table1[[#This Row],[Competitor Pricing]]</f>
        <v>0.74000000000000199</v>
      </c>
    </row>
    <row r="108" spans="1:17" x14ac:dyDescent="0.3">
      <c r="A108" s="20">
        <v>44563</v>
      </c>
      <c r="B108" s="6" t="s">
        <v>15</v>
      </c>
      <c r="C108" s="6" t="s">
        <v>35</v>
      </c>
      <c r="D108" s="6" t="s">
        <v>31</v>
      </c>
      <c r="E108" s="6" t="s">
        <v>18</v>
      </c>
      <c r="F108" s="7">
        <v>178</v>
      </c>
      <c r="G108" s="7">
        <v>56</v>
      </c>
      <c r="H108" s="7">
        <v>149</v>
      </c>
      <c r="I108" s="8">
        <v>60.3</v>
      </c>
      <c r="J108" s="8">
        <v>17.100000000000001</v>
      </c>
      <c r="K108" s="7">
        <v>5</v>
      </c>
      <c r="L108" s="6" t="s">
        <v>44</v>
      </c>
      <c r="M108" s="6">
        <v>1</v>
      </c>
      <c r="N108" s="8">
        <v>17</v>
      </c>
      <c r="O108" s="25" t="s">
        <v>20</v>
      </c>
      <c r="P108" s="14">
        <f t="shared" si="1"/>
        <v>0.3146067415730337</v>
      </c>
      <c r="Q108" s="17">
        <f>Table1[[#This Row],[Price]]-Table1[[#This Row],[Competitor Pricing]]</f>
        <v>0.10000000000000142</v>
      </c>
    </row>
    <row r="109" spans="1:17" x14ac:dyDescent="0.3">
      <c r="A109" s="21">
        <v>44563</v>
      </c>
      <c r="B109" s="9" t="s">
        <v>15</v>
      </c>
      <c r="C109" s="9" t="s">
        <v>37</v>
      </c>
      <c r="D109" s="9" t="s">
        <v>38</v>
      </c>
      <c r="E109" s="9" t="s">
        <v>32</v>
      </c>
      <c r="F109" s="10">
        <v>92</v>
      </c>
      <c r="G109" s="10">
        <v>74</v>
      </c>
      <c r="H109" s="10">
        <v>121</v>
      </c>
      <c r="I109" s="11">
        <v>67.040000000000006</v>
      </c>
      <c r="J109" s="11">
        <v>58.89</v>
      </c>
      <c r="K109" s="10">
        <v>5</v>
      </c>
      <c r="L109" s="9" t="s">
        <v>29</v>
      </c>
      <c r="M109" s="9">
        <v>0</v>
      </c>
      <c r="N109" s="11">
        <v>61.56</v>
      </c>
      <c r="O109" s="26" t="s">
        <v>20</v>
      </c>
      <c r="P109" s="14">
        <f t="shared" si="1"/>
        <v>0.80434782608695654</v>
      </c>
      <c r="Q109" s="17">
        <f>Table1[[#This Row],[Price]]-Table1[[#This Row],[Competitor Pricing]]</f>
        <v>-2.6700000000000017</v>
      </c>
    </row>
    <row r="110" spans="1:17" x14ac:dyDescent="0.3">
      <c r="A110" s="20">
        <v>44563</v>
      </c>
      <c r="B110" s="6" t="s">
        <v>15</v>
      </c>
      <c r="C110" s="6" t="s">
        <v>40</v>
      </c>
      <c r="D110" s="6" t="s">
        <v>22</v>
      </c>
      <c r="E110" s="6" t="s">
        <v>23</v>
      </c>
      <c r="F110" s="7">
        <v>99</v>
      </c>
      <c r="G110" s="7">
        <v>54</v>
      </c>
      <c r="H110" s="7">
        <v>182</v>
      </c>
      <c r="I110" s="8">
        <v>70.599999999999994</v>
      </c>
      <c r="J110" s="8">
        <v>99.76</v>
      </c>
      <c r="K110" s="7">
        <v>20</v>
      </c>
      <c r="L110" s="6" t="s">
        <v>29</v>
      </c>
      <c r="M110" s="6">
        <v>0</v>
      </c>
      <c r="N110" s="8">
        <v>95.61</v>
      </c>
      <c r="O110" s="25" t="s">
        <v>39</v>
      </c>
      <c r="P110" s="14">
        <f t="shared" si="1"/>
        <v>0.54545454545454541</v>
      </c>
      <c r="Q110" s="17">
        <f>Table1[[#This Row],[Price]]-Table1[[#This Row],[Competitor Pricing]]</f>
        <v>4.1500000000000057</v>
      </c>
    </row>
    <row r="111" spans="1:17" x14ac:dyDescent="0.3">
      <c r="A111" s="21">
        <v>44563</v>
      </c>
      <c r="B111" s="9" t="s">
        <v>15</v>
      </c>
      <c r="C111" s="9" t="s">
        <v>41</v>
      </c>
      <c r="D111" s="9" t="s">
        <v>38</v>
      </c>
      <c r="E111" s="9" t="s">
        <v>18</v>
      </c>
      <c r="F111" s="10">
        <v>171</v>
      </c>
      <c r="G111" s="10">
        <v>39</v>
      </c>
      <c r="H111" s="10">
        <v>163</v>
      </c>
      <c r="I111" s="11">
        <v>47.8</v>
      </c>
      <c r="J111" s="11">
        <v>11.44</v>
      </c>
      <c r="K111" s="10">
        <v>5</v>
      </c>
      <c r="L111" s="9" t="s">
        <v>24</v>
      </c>
      <c r="M111" s="9">
        <v>0</v>
      </c>
      <c r="N111" s="11">
        <v>12.71</v>
      </c>
      <c r="O111" s="26" t="s">
        <v>27</v>
      </c>
      <c r="P111" s="14">
        <f t="shared" si="1"/>
        <v>0.22807017543859648</v>
      </c>
      <c r="Q111" s="17">
        <f>Table1[[#This Row],[Price]]-Table1[[#This Row],[Competitor Pricing]]</f>
        <v>-1.2700000000000014</v>
      </c>
    </row>
    <row r="112" spans="1:17" x14ac:dyDescent="0.3">
      <c r="A112" s="20">
        <v>44563</v>
      </c>
      <c r="B112" s="6" t="s">
        <v>15</v>
      </c>
      <c r="C112" s="6" t="s">
        <v>42</v>
      </c>
      <c r="D112" s="6" t="s">
        <v>36</v>
      </c>
      <c r="E112" s="6" t="s">
        <v>32</v>
      </c>
      <c r="F112" s="7">
        <v>215</v>
      </c>
      <c r="G112" s="7">
        <v>12</v>
      </c>
      <c r="H112" s="7">
        <v>173</v>
      </c>
      <c r="I112" s="8">
        <v>16.920000000000002</v>
      </c>
      <c r="J112" s="8">
        <v>53.84</v>
      </c>
      <c r="K112" s="7">
        <v>0</v>
      </c>
      <c r="L112" s="6" t="s">
        <v>29</v>
      </c>
      <c r="M112" s="6">
        <v>1</v>
      </c>
      <c r="N112" s="8">
        <v>53.79</v>
      </c>
      <c r="O112" s="25" t="s">
        <v>39</v>
      </c>
      <c r="P112" s="14">
        <f t="shared" si="1"/>
        <v>5.5813953488372092E-2</v>
      </c>
      <c r="Q112" s="17">
        <f>Table1[[#This Row],[Price]]-Table1[[#This Row],[Competitor Pricing]]</f>
        <v>5.0000000000004263E-2</v>
      </c>
    </row>
    <row r="113" spans="1:17" x14ac:dyDescent="0.3">
      <c r="A113" s="21">
        <v>44563</v>
      </c>
      <c r="B113" s="9" t="s">
        <v>15</v>
      </c>
      <c r="C113" s="9" t="s">
        <v>43</v>
      </c>
      <c r="D113" s="9" t="s">
        <v>36</v>
      </c>
      <c r="E113" s="9" t="s">
        <v>32</v>
      </c>
      <c r="F113" s="10">
        <v>281</v>
      </c>
      <c r="G113" s="10">
        <v>56</v>
      </c>
      <c r="H113" s="10">
        <v>187</v>
      </c>
      <c r="I113" s="11">
        <v>70.709999999999994</v>
      </c>
      <c r="J113" s="11">
        <v>57.84</v>
      </c>
      <c r="K113" s="10">
        <v>5</v>
      </c>
      <c r="L113" s="9" t="s">
        <v>44</v>
      </c>
      <c r="M113" s="9">
        <v>1</v>
      </c>
      <c r="N113" s="11">
        <v>60.99</v>
      </c>
      <c r="O113" s="26" t="s">
        <v>27</v>
      </c>
      <c r="P113" s="14">
        <f t="shared" si="1"/>
        <v>0.199288256227758</v>
      </c>
      <c r="Q113" s="17">
        <f>Table1[[#This Row],[Price]]-Table1[[#This Row],[Competitor Pricing]]</f>
        <v>-3.1499999999999986</v>
      </c>
    </row>
    <row r="114" spans="1:17" x14ac:dyDescent="0.3">
      <c r="A114" s="20">
        <v>44563</v>
      </c>
      <c r="B114" s="6" t="s">
        <v>15</v>
      </c>
      <c r="C114" s="6" t="s">
        <v>45</v>
      </c>
      <c r="D114" s="6" t="s">
        <v>22</v>
      </c>
      <c r="E114" s="6" t="s">
        <v>18</v>
      </c>
      <c r="F114" s="7">
        <v>455</v>
      </c>
      <c r="G114" s="7">
        <v>31</v>
      </c>
      <c r="H114" s="7">
        <v>124</v>
      </c>
      <c r="I114" s="8">
        <v>44.46</v>
      </c>
      <c r="J114" s="8">
        <v>35.51</v>
      </c>
      <c r="K114" s="7">
        <v>15</v>
      </c>
      <c r="L114" s="6" t="s">
        <v>29</v>
      </c>
      <c r="M114" s="6">
        <v>1</v>
      </c>
      <c r="N114" s="8">
        <v>31.06</v>
      </c>
      <c r="O114" s="25" t="s">
        <v>20</v>
      </c>
      <c r="P114" s="14">
        <f t="shared" si="1"/>
        <v>6.8131868131868126E-2</v>
      </c>
      <c r="Q114" s="17">
        <f>Table1[[#This Row],[Price]]-Table1[[#This Row],[Competitor Pricing]]</f>
        <v>4.4499999999999993</v>
      </c>
    </row>
    <row r="115" spans="1:17" x14ac:dyDescent="0.3">
      <c r="A115" s="21">
        <v>44563</v>
      </c>
      <c r="B115" s="9" t="s">
        <v>15</v>
      </c>
      <c r="C115" s="9" t="s">
        <v>46</v>
      </c>
      <c r="D115" s="9" t="s">
        <v>31</v>
      </c>
      <c r="E115" s="9" t="s">
        <v>26</v>
      </c>
      <c r="F115" s="10">
        <v>84</v>
      </c>
      <c r="G115" s="10">
        <v>25</v>
      </c>
      <c r="H115" s="10">
        <v>20</v>
      </c>
      <c r="I115" s="11">
        <v>23.36</v>
      </c>
      <c r="J115" s="11">
        <v>31.41</v>
      </c>
      <c r="K115" s="10">
        <v>0</v>
      </c>
      <c r="L115" s="9" t="s">
        <v>29</v>
      </c>
      <c r="M115" s="9">
        <v>1</v>
      </c>
      <c r="N115" s="11">
        <v>28.6</v>
      </c>
      <c r="O115" s="26" t="s">
        <v>39</v>
      </c>
      <c r="P115" s="14">
        <f t="shared" si="1"/>
        <v>0.29761904761904762</v>
      </c>
      <c r="Q115" s="17">
        <f>Table1[[#This Row],[Price]]-Table1[[#This Row],[Competitor Pricing]]</f>
        <v>2.8099999999999987</v>
      </c>
    </row>
    <row r="116" spans="1:17" x14ac:dyDescent="0.3">
      <c r="A116" s="20">
        <v>44563</v>
      </c>
      <c r="B116" s="6" t="s">
        <v>15</v>
      </c>
      <c r="C116" s="6" t="s">
        <v>47</v>
      </c>
      <c r="D116" s="6" t="s">
        <v>31</v>
      </c>
      <c r="E116" s="6" t="s">
        <v>32</v>
      </c>
      <c r="F116" s="7">
        <v>246</v>
      </c>
      <c r="G116" s="7">
        <v>198</v>
      </c>
      <c r="H116" s="7">
        <v>67</v>
      </c>
      <c r="I116" s="8">
        <v>203.23</v>
      </c>
      <c r="J116" s="8">
        <v>28.06</v>
      </c>
      <c r="K116" s="7">
        <v>20</v>
      </c>
      <c r="L116" s="6" t="s">
        <v>29</v>
      </c>
      <c r="M116" s="6">
        <v>1</v>
      </c>
      <c r="N116" s="8">
        <v>30.29</v>
      </c>
      <c r="O116" s="25" t="s">
        <v>34</v>
      </c>
      <c r="P116" s="14">
        <f t="shared" si="1"/>
        <v>0.80487804878048785</v>
      </c>
      <c r="Q116" s="17">
        <f>Table1[[#This Row],[Price]]-Table1[[#This Row],[Competitor Pricing]]</f>
        <v>-2.2300000000000004</v>
      </c>
    </row>
    <row r="117" spans="1:17" x14ac:dyDescent="0.3">
      <c r="A117" s="21">
        <v>44563</v>
      </c>
      <c r="B117" s="9" t="s">
        <v>15</v>
      </c>
      <c r="C117" s="9" t="s">
        <v>48</v>
      </c>
      <c r="D117" s="9" t="s">
        <v>31</v>
      </c>
      <c r="E117" s="9" t="s">
        <v>26</v>
      </c>
      <c r="F117" s="10">
        <v>399</v>
      </c>
      <c r="G117" s="10">
        <v>77</v>
      </c>
      <c r="H117" s="10">
        <v>147</v>
      </c>
      <c r="I117" s="11">
        <v>67.55</v>
      </c>
      <c r="J117" s="11">
        <v>35.67</v>
      </c>
      <c r="K117" s="10">
        <v>15</v>
      </c>
      <c r="L117" s="9" t="s">
        <v>44</v>
      </c>
      <c r="M117" s="9">
        <v>0</v>
      </c>
      <c r="N117" s="11">
        <v>38.020000000000003</v>
      </c>
      <c r="O117" s="26" t="s">
        <v>27</v>
      </c>
      <c r="P117" s="14">
        <f t="shared" si="1"/>
        <v>0.19298245614035087</v>
      </c>
      <c r="Q117" s="17">
        <f>Table1[[#This Row],[Price]]-Table1[[#This Row],[Competitor Pricing]]</f>
        <v>-2.3500000000000014</v>
      </c>
    </row>
    <row r="118" spans="1:17" x14ac:dyDescent="0.3">
      <c r="A118" s="20">
        <v>44563</v>
      </c>
      <c r="B118" s="6" t="s">
        <v>15</v>
      </c>
      <c r="C118" s="6" t="s">
        <v>49</v>
      </c>
      <c r="D118" s="6" t="s">
        <v>36</v>
      </c>
      <c r="E118" s="6" t="s">
        <v>26</v>
      </c>
      <c r="F118" s="7">
        <v>242</v>
      </c>
      <c r="G118" s="7">
        <v>165</v>
      </c>
      <c r="H118" s="7">
        <v>105</v>
      </c>
      <c r="I118" s="8">
        <v>181.86</v>
      </c>
      <c r="J118" s="8">
        <v>28.18</v>
      </c>
      <c r="K118" s="7">
        <v>5</v>
      </c>
      <c r="L118" s="6" t="s">
        <v>29</v>
      </c>
      <c r="M118" s="6">
        <v>0</v>
      </c>
      <c r="N118" s="8">
        <v>27.5</v>
      </c>
      <c r="O118" s="25" t="s">
        <v>20</v>
      </c>
      <c r="P118" s="14">
        <f t="shared" si="1"/>
        <v>0.68181818181818177</v>
      </c>
      <c r="Q118" s="17">
        <f>Table1[[#This Row],[Price]]-Table1[[#This Row],[Competitor Pricing]]</f>
        <v>0.67999999999999972</v>
      </c>
    </row>
    <row r="119" spans="1:17" x14ac:dyDescent="0.3">
      <c r="A119" s="21">
        <v>44563</v>
      </c>
      <c r="B119" s="9" t="s">
        <v>15</v>
      </c>
      <c r="C119" s="9" t="s">
        <v>50</v>
      </c>
      <c r="D119" s="9" t="s">
        <v>22</v>
      </c>
      <c r="E119" s="9" t="s">
        <v>18</v>
      </c>
      <c r="F119" s="10">
        <v>478</v>
      </c>
      <c r="G119" s="10">
        <v>42</v>
      </c>
      <c r="H119" s="10">
        <v>168</v>
      </c>
      <c r="I119" s="11">
        <v>55.16</v>
      </c>
      <c r="J119" s="11">
        <v>74.42</v>
      </c>
      <c r="K119" s="10">
        <v>5</v>
      </c>
      <c r="L119" s="9" t="s">
        <v>44</v>
      </c>
      <c r="M119" s="9">
        <v>0</v>
      </c>
      <c r="N119" s="11">
        <v>69.67</v>
      </c>
      <c r="O119" s="26" t="s">
        <v>27</v>
      </c>
      <c r="P119" s="14">
        <f t="shared" si="1"/>
        <v>8.7866108786610872E-2</v>
      </c>
      <c r="Q119" s="17">
        <f>Table1[[#This Row],[Price]]-Table1[[#This Row],[Competitor Pricing]]</f>
        <v>4.75</v>
      </c>
    </row>
    <row r="120" spans="1:17" x14ac:dyDescent="0.3">
      <c r="A120" s="20">
        <v>44563</v>
      </c>
      <c r="B120" s="6" t="s">
        <v>15</v>
      </c>
      <c r="C120" s="6" t="s">
        <v>51</v>
      </c>
      <c r="D120" s="6" t="s">
        <v>36</v>
      </c>
      <c r="E120" s="6" t="s">
        <v>23</v>
      </c>
      <c r="F120" s="7">
        <v>156</v>
      </c>
      <c r="G120" s="7">
        <v>8</v>
      </c>
      <c r="H120" s="7">
        <v>67</v>
      </c>
      <c r="I120" s="8">
        <v>24.41</v>
      </c>
      <c r="J120" s="8">
        <v>91.95</v>
      </c>
      <c r="K120" s="7">
        <v>5</v>
      </c>
      <c r="L120" s="6" t="s">
        <v>29</v>
      </c>
      <c r="M120" s="6">
        <v>1</v>
      </c>
      <c r="N120" s="8">
        <v>87.43</v>
      </c>
      <c r="O120" s="25" t="s">
        <v>39</v>
      </c>
      <c r="P120" s="14">
        <f t="shared" si="1"/>
        <v>5.128205128205128E-2</v>
      </c>
      <c r="Q120" s="17">
        <f>Table1[[#This Row],[Price]]-Table1[[#This Row],[Competitor Pricing]]</f>
        <v>4.519999999999996</v>
      </c>
    </row>
    <row r="121" spans="1:17" x14ac:dyDescent="0.3">
      <c r="A121" s="21">
        <v>44563</v>
      </c>
      <c r="B121" s="9" t="s">
        <v>15</v>
      </c>
      <c r="C121" s="9" t="s">
        <v>52</v>
      </c>
      <c r="D121" s="9" t="s">
        <v>31</v>
      </c>
      <c r="E121" s="9" t="s">
        <v>18</v>
      </c>
      <c r="F121" s="10">
        <v>221</v>
      </c>
      <c r="G121" s="10">
        <v>174</v>
      </c>
      <c r="H121" s="10">
        <v>168</v>
      </c>
      <c r="I121" s="11">
        <v>187.49</v>
      </c>
      <c r="J121" s="11">
        <v>97.88</v>
      </c>
      <c r="K121" s="10">
        <v>0</v>
      </c>
      <c r="L121" s="9" t="s">
        <v>44</v>
      </c>
      <c r="M121" s="9">
        <v>0</v>
      </c>
      <c r="N121" s="11">
        <v>99.5</v>
      </c>
      <c r="O121" s="26" t="s">
        <v>20</v>
      </c>
      <c r="P121" s="14">
        <f t="shared" si="1"/>
        <v>0.78733031674208143</v>
      </c>
      <c r="Q121" s="17">
        <f>Table1[[#This Row],[Price]]-Table1[[#This Row],[Competitor Pricing]]</f>
        <v>-1.6200000000000045</v>
      </c>
    </row>
    <row r="122" spans="1:17" x14ac:dyDescent="0.3">
      <c r="A122" s="20">
        <v>44563</v>
      </c>
      <c r="B122" s="6" t="s">
        <v>53</v>
      </c>
      <c r="C122" s="6" t="s">
        <v>16</v>
      </c>
      <c r="D122" s="6" t="s">
        <v>31</v>
      </c>
      <c r="E122" s="6" t="s">
        <v>26</v>
      </c>
      <c r="F122" s="7">
        <v>402</v>
      </c>
      <c r="G122" s="7">
        <v>343</v>
      </c>
      <c r="H122" s="7">
        <v>141</v>
      </c>
      <c r="I122" s="8">
        <v>339.04</v>
      </c>
      <c r="J122" s="8">
        <v>66.569999999999993</v>
      </c>
      <c r="K122" s="7">
        <v>20</v>
      </c>
      <c r="L122" s="6" t="s">
        <v>19</v>
      </c>
      <c r="M122" s="6">
        <v>1</v>
      </c>
      <c r="N122" s="8">
        <v>63.92</v>
      </c>
      <c r="O122" s="25" t="s">
        <v>27</v>
      </c>
      <c r="P122" s="14">
        <f t="shared" si="1"/>
        <v>0.85323383084577109</v>
      </c>
      <c r="Q122" s="17">
        <f>Table1[[#This Row],[Price]]-Table1[[#This Row],[Competitor Pricing]]</f>
        <v>2.6499999999999915</v>
      </c>
    </row>
    <row r="123" spans="1:17" x14ac:dyDescent="0.3">
      <c r="A123" s="21">
        <v>44563</v>
      </c>
      <c r="B123" s="9" t="s">
        <v>53</v>
      </c>
      <c r="C123" s="9" t="s">
        <v>21</v>
      </c>
      <c r="D123" s="9" t="s">
        <v>36</v>
      </c>
      <c r="E123" s="9" t="s">
        <v>26</v>
      </c>
      <c r="F123" s="10">
        <v>132</v>
      </c>
      <c r="G123" s="10">
        <v>71</v>
      </c>
      <c r="H123" s="10">
        <v>60</v>
      </c>
      <c r="I123" s="11">
        <v>82.44</v>
      </c>
      <c r="J123" s="11">
        <v>90.36</v>
      </c>
      <c r="K123" s="10">
        <v>5</v>
      </c>
      <c r="L123" s="9" t="s">
        <v>19</v>
      </c>
      <c r="M123" s="9">
        <v>0</v>
      </c>
      <c r="N123" s="11">
        <v>86.73</v>
      </c>
      <c r="O123" s="26" t="s">
        <v>34</v>
      </c>
      <c r="P123" s="14">
        <f t="shared" si="1"/>
        <v>0.53787878787878785</v>
      </c>
      <c r="Q123" s="17">
        <f>Table1[[#This Row],[Price]]-Table1[[#This Row],[Competitor Pricing]]</f>
        <v>3.6299999999999955</v>
      </c>
    </row>
    <row r="124" spans="1:17" x14ac:dyDescent="0.3">
      <c r="A124" s="20">
        <v>44563</v>
      </c>
      <c r="B124" s="6" t="s">
        <v>53</v>
      </c>
      <c r="C124" s="6" t="s">
        <v>25</v>
      </c>
      <c r="D124" s="6" t="s">
        <v>17</v>
      </c>
      <c r="E124" s="6" t="s">
        <v>26</v>
      </c>
      <c r="F124" s="7">
        <v>218</v>
      </c>
      <c r="G124" s="7">
        <v>157</v>
      </c>
      <c r="H124" s="7">
        <v>31</v>
      </c>
      <c r="I124" s="8">
        <v>153.41999999999999</v>
      </c>
      <c r="J124" s="8">
        <v>92.24</v>
      </c>
      <c r="K124" s="7">
        <v>5</v>
      </c>
      <c r="L124" s="6" t="s">
        <v>44</v>
      </c>
      <c r="M124" s="6">
        <v>1</v>
      </c>
      <c r="N124" s="8">
        <v>89.57</v>
      </c>
      <c r="O124" s="25" t="s">
        <v>20</v>
      </c>
      <c r="P124" s="14">
        <f t="shared" si="1"/>
        <v>0.72018348623853212</v>
      </c>
      <c r="Q124" s="17">
        <f>Table1[[#This Row],[Price]]-Table1[[#This Row],[Competitor Pricing]]</f>
        <v>2.6700000000000017</v>
      </c>
    </row>
    <row r="125" spans="1:17" x14ac:dyDescent="0.3">
      <c r="A125" s="21">
        <v>44563</v>
      </c>
      <c r="B125" s="9" t="s">
        <v>53</v>
      </c>
      <c r="C125" s="9" t="s">
        <v>28</v>
      </c>
      <c r="D125" s="9" t="s">
        <v>17</v>
      </c>
      <c r="E125" s="9" t="s">
        <v>23</v>
      </c>
      <c r="F125" s="10">
        <v>131</v>
      </c>
      <c r="G125" s="10">
        <v>88</v>
      </c>
      <c r="H125" s="10">
        <v>109</v>
      </c>
      <c r="I125" s="11">
        <v>100.61</v>
      </c>
      <c r="J125" s="11">
        <v>68.709999999999994</v>
      </c>
      <c r="K125" s="10">
        <v>0</v>
      </c>
      <c r="L125" s="9" t="s">
        <v>44</v>
      </c>
      <c r="M125" s="9">
        <v>0</v>
      </c>
      <c r="N125" s="11">
        <v>69.34</v>
      </c>
      <c r="O125" s="26" t="s">
        <v>39</v>
      </c>
      <c r="P125" s="14">
        <f t="shared" si="1"/>
        <v>0.6717557251908397</v>
      </c>
      <c r="Q125" s="17">
        <f>Table1[[#This Row],[Price]]-Table1[[#This Row],[Competitor Pricing]]</f>
        <v>-0.63000000000000966</v>
      </c>
    </row>
    <row r="126" spans="1:17" x14ac:dyDescent="0.3">
      <c r="A126" s="20">
        <v>44563</v>
      </c>
      <c r="B126" s="6" t="s">
        <v>53</v>
      </c>
      <c r="C126" s="6" t="s">
        <v>30</v>
      </c>
      <c r="D126" s="6" t="s">
        <v>17</v>
      </c>
      <c r="E126" s="6" t="s">
        <v>18</v>
      </c>
      <c r="F126" s="7">
        <v>93</v>
      </c>
      <c r="G126" s="7">
        <v>64</v>
      </c>
      <c r="H126" s="7">
        <v>128</v>
      </c>
      <c r="I126" s="8">
        <v>57.53</v>
      </c>
      <c r="J126" s="8">
        <v>87.22</v>
      </c>
      <c r="K126" s="7">
        <v>5</v>
      </c>
      <c r="L126" s="6" t="s">
        <v>29</v>
      </c>
      <c r="M126" s="6">
        <v>1</v>
      </c>
      <c r="N126" s="8">
        <v>90.59</v>
      </c>
      <c r="O126" s="25" t="s">
        <v>39</v>
      </c>
      <c r="P126" s="14">
        <f t="shared" si="1"/>
        <v>0.68817204301075274</v>
      </c>
      <c r="Q126" s="17">
        <f>Table1[[#This Row],[Price]]-Table1[[#This Row],[Competitor Pricing]]</f>
        <v>-3.3700000000000045</v>
      </c>
    </row>
    <row r="127" spans="1:17" x14ac:dyDescent="0.3">
      <c r="A127" s="21">
        <v>44563</v>
      </c>
      <c r="B127" s="9" t="s">
        <v>53</v>
      </c>
      <c r="C127" s="9" t="s">
        <v>33</v>
      </c>
      <c r="D127" s="9" t="s">
        <v>17</v>
      </c>
      <c r="E127" s="9" t="s">
        <v>32</v>
      </c>
      <c r="F127" s="10">
        <v>344</v>
      </c>
      <c r="G127" s="10">
        <v>273</v>
      </c>
      <c r="H127" s="10">
        <v>154</v>
      </c>
      <c r="I127" s="11">
        <v>273.10000000000002</v>
      </c>
      <c r="J127" s="11">
        <v>79.38</v>
      </c>
      <c r="K127" s="10">
        <v>0</v>
      </c>
      <c r="L127" s="9" t="s">
        <v>19</v>
      </c>
      <c r="M127" s="9">
        <v>0</v>
      </c>
      <c r="N127" s="11">
        <v>77.28</v>
      </c>
      <c r="O127" s="26" t="s">
        <v>20</v>
      </c>
      <c r="P127" s="14">
        <f t="shared" si="1"/>
        <v>0.79360465116279066</v>
      </c>
      <c r="Q127" s="17">
        <f>Table1[[#This Row],[Price]]-Table1[[#This Row],[Competitor Pricing]]</f>
        <v>2.0999999999999943</v>
      </c>
    </row>
    <row r="128" spans="1:17" x14ac:dyDescent="0.3">
      <c r="A128" s="20">
        <v>44563</v>
      </c>
      <c r="B128" s="6" t="s">
        <v>53</v>
      </c>
      <c r="C128" s="6" t="s">
        <v>35</v>
      </c>
      <c r="D128" s="6" t="s">
        <v>17</v>
      </c>
      <c r="E128" s="6" t="s">
        <v>18</v>
      </c>
      <c r="F128" s="7">
        <v>340</v>
      </c>
      <c r="G128" s="7">
        <v>247</v>
      </c>
      <c r="H128" s="7">
        <v>148</v>
      </c>
      <c r="I128" s="8">
        <v>264.18</v>
      </c>
      <c r="J128" s="8">
        <v>17.41</v>
      </c>
      <c r="K128" s="7">
        <v>15</v>
      </c>
      <c r="L128" s="6" t="s">
        <v>44</v>
      </c>
      <c r="M128" s="6">
        <v>0</v>
      </c>
      <c r="N128" s="8">
        <v>13.57</v>
      </c>
      <c r="O128" s="25" t="s">
        <v>27</v>
      </c>
      <c r="P128" s="14">
        <f t="shared" si="1"/>
        <v>0.72647058823529409</v>
      </c>
      <c r="Q128" s="17">
        <f>Table1[[#This Row],[Price]]-Table1[[#This Row],[Competitor Pricing]]</f>
        <v>3.84</v>
      </c>
    </row>
    <row r="129" spans="1:17" x14ac:dyDescent="0.3">
      <c r="A129" s="21">
        <v>44563</v>
      </c>
      <c r="B129" s="9" t="s">
        <v>53</v>
      </c>
      <c r="C129" s="9" t="s">
        <v>37</v>
      </c>
      <c r="D129" s="9" t="s">
        <v>31</v>
      </c>
      <c r="E129" s="9" t="s">
        <v>18</v>
      </c>
      <c r="F129" s="10">
        <v>241</v>
      </c>
      <c r="G129" s="10">
        <v>42</v>
      </c>
      <c r="H129" s="10">
        <v>187</v>
      </c>
      <c r="I129" s="11">
        <v>46.32</v>
      </c>
      <c r="J129" s="11">
        <v>14.8</v>
      </c>
      <c r="K129" s="10">
        <v>15</v>
      </c>
      <c r="L129" s="9" t="s">
        <v>24</v>
      </c>
      <c r="M129" s="9">
        <v>1</v>
      </c>
      <c r="N129" s="11">
        <v>13.94</v>
      </c>
      <c r="O129" s="26" t="s">
        <v>39</v>
      </c>
      <c r="P129" s="14">
        <f t="shared" si="1"/>
        <v>0.17427385892116182</v>
      </c>
      <c r="Q129" s="17">
        <f>Table1[[#This Row],[Price]]-Table1[[#This Row],[Competitor Pricing]]</f>
        <v>0.86000000000000121</v>
      </c>
    </row>
    <row r="130" spans="1:17" x14ac:dyDescent="0.3">
      <c r="A130" s="20">
        <v>44563</v>
      </c>
      <c r="B130" s="6" t="s">
        <v>53</v>
      </c>
      <c r="C130" s="6" t="s">
        <v>40</v>
      </c>
      <c r="D130" s="6" t="s">
        <v>31</v>
      </c>
      <c r="E130" s="6" t="s">
        <v>18</v>
      </c>
      <c r="F130" s="7">
        <v>296</v>
      </c>
      <c r="G130" s="7">
        <v>197</v>
      </c>
      <c r="H130" s="7">
        <v>157</v>
      </c>
      <c r="I130" s="8">
        <v>195.61</v>
      </c>
      <c r="J130" s="8">
        <v>30.5</v>
      </c>
      <c r="K130" s="7">
        <v>0</v>
      </c>
      <c r="L130" s="6" t="s">
        <v>24</v>
      </c>
      <c r="M130" s="6">
        <v>0</v>
      </c>
      <c r="N130" s="8">
        <v>28.86</v>
      </c>
      <c r="O130" s="25" t="s">
        <v>39</v>
      </c>
      <c r="P130" s="14">
        <f t="shared" si="1"/>
        <v>0.66554054054054057</v>
      </c>
      <c r="Q130" s="17">
        <f>Table1[[#This Row],[Price]]-Table1[[#This Row],[Competitor Pricing]]</f>
        <v>1.6400000000000006</v>
      </c>
    </row>
    <row r="131" spans="1:17" x14ac:dyDescent="0.3">
      <c r="A131" s="21">
        <v>44563</v>
      </c>
      <c r="B131" s="9" t="s">
        <v>53</v>
      </c>
      <c r="C131" s="9" t="s">
        <v>41</v>
      </c>
      <c r="D131" s="9" t="s">
        <v>17</v>
      </c>
      <c r="E131" s="9" t="s">
        <v>26</v>
      </c>
      <c r="F131" s="10">
        <v>472</v>
      </c>
      <c r="G131" s="10">
        <v>374</v>
      </c>
      <c r="H131" s="10">
        <v>65</v>
      </c>
      <c r="I131" s="11">
        <v>387.41</v>
      </c>
      <c r="J131" s="11">
        <v>27.84</v>
      </c>
      <c r="K131" s="10">
        <v>15</v>
      </c>
      <c r="L131" s="9" t="s">
        <v>29</v>
      </c>
      <c r="M131" s="9">
        <v>1</v>
      </c>
      <c r="N131" s="11">
        <v>32</v>
      </c>
      <c r="O131" s="26" t="s">
        <v>39</v>
      </c>
      <c r="P131" s="14">
        <f t="shared" ref="P131:P194" si="2">G131/F131</f>
        <v>0.7923728813559322</v>
      </c>
      <c r="Q131" s="17">
        <f>Table1[[#This Row],[Price]]-Table1[[#This Row],[Competitor Pricing]]</f>
        <v>-4.16</v>
      </c>
    </row>
    <row r="132" spans="1:17" x14ac:dyDescent="0.3">
      <c r="A132" s="20">
        <v>44563</v>
      </c>
      <c r="B132" s="6" t="s">
        <v>53</v>
      </c>
      <c r="C132" s="6" t="s">
        <v>42</v>
      </c>
      <c r="D132" s="6" t="s">
        <v>36</v>
      </c>
      <c r="E132" s="6" t="s">
        <v>32</v>
      </c>
      <c r="F132" s="7">
        <v>308</v>
      </c>
      <c r="G132" s="7">
        <v>154</v>
      </c>
      <c r="H132" s="7">
        <v>22</v>
      </c>
      <c r="I132" s="8">
        <v>169.13</v>
      </c>
      <c r="J132" s="8">
        <v>88.62</v>
      </c>
      <c r="K132" s="7">
        <v>0</v>
      </c>
      <c r="L132" s="6" t="s">
        <v>29</v>
      </c>
      <c r="M132" s="6">
        <v>0</v>
      </c>
      <c r="N132" s="8">
        <v>86.3</v>
      </c>
      <c r="O132" s="25" t="s">
        <v>34</v>
      </c>
      <c r="P132" s="14">
        <f t="shared" si="2"/>
        <v>0.5</v>
      </c>
      <c r="Q132" s="17">
        <f>Table1[[#This Row],[Price]]-Table1[[#This Row],[Competitor Pricing]]</f>
        <v>2.3200000000000074</v>
      </c>
    </row>
    <row r="133" spans="1:17" x14ac:dyDescent="0.3">
      <c r="A133" s="21">
        <v>44563</v>
      </c>
      <c r="B133" s="9" t="s">
        <v>53</v>
      </c>
      <c r="C133" s="9" t="s">
        <v>43</v>
      </c>
      <c r="D133" s="9" t="s">
        <v>22</v>
      </c>
      <c r="E133" s="9" t="s">
        <v>18</v>
      </c>
      <c r="F133" s="10">
        <v>434</v>
      </c>
      <c r="G133" s="10">
        <v>236</v>
      </c>
      <c r="H133" s="10">
        <v>30</v>
      </c>
      <c r="I133" s="11">
        <v>239.09</v>
      </c>
      <c r="J133" s="11">
        <v>82.35</v>
      </c>
      <c r="K133" s="10">
        <v>20</v>
      </c>
      <c r="L133" s="9" t="s">
        <v>19</v>
      </c>
      <c r="M133" s="9">
        <v>0</v>
      </c>
      <c r="N133" s="11">
        <v>83.13</v>
      </c>
      <c r="O133" s="26" t="s">
        <v>20</v>
      </c>
      <c r="P133" s="14">
        <f t="shared" si="2"/>
        <v>0.54377880184331795</v>
      </c>
      <c r="Q133" s="17">
        <f>Table1[[#This Row],[Price]]-Table1[[#This Row],[Competitor Pricing]]</f>
        <v>-0.78000000000000114</v>
      </c>
    </row>
    <row r="134" spans="1:17" x14ac:dyDescent="0.3">
      <c r="A134" s="20">
        <v>44563</v>
      </c>
      <c r="B134" s="6" t="s">
        <v>53</v>
      </c>
      <c r="C134" s="6" t="s">
        <v>45</v>
      </c>
      <c r="D134" s="6" t="s">
        <v>22</v>
      </c>
      <c r="E134" s="6" t="s">
        <v>18</v>
      </c>
      <c r="F134" s="7">
        <v>287</v>
      </c>
      <c r="G134" s="7">
        <v>278</v>
      </c>
      <c r="H134" s="7">
        <v>92</v>
      </c>
      <c r="I134" s="8">
        <v>279.91000000000003</v>
      </c>
      <c r="J134" s="8">
        <v>92.57</v>
      </c>
      <c r="K134" s="7">
        <v>10</v>
      </c>
      <c r="L134" s="6" t="s">
        <v>24</v>
      </c>
      <c r="M134" s="6">
        <v>1</v>
      </c>
      <c r="N134" s="8">
        <v>97.09</v>
      </c>
      <c r="O134" s="25" t="s">
        <v>27</v>
      </c>
      <c r="P134" s="14">
        <f t="shared" si="2"/>
        <v>0.96864111498257843</v>
      </c>
      <c r="Q134" s="17">
        <f>Table1[[#This Row],[Price]]-Table1[[#This Row],[Competitor Pricing]]</f>
        <v>-4.5200000000000102</v>
      </c>
    </row>
    <row r="135" spans="1:17" x14ac:dyDescent="0.3">
      <c r="A135" s="21">
        <v>44563</v>
      </c>
      <c r="B135" s="9" t="s">
        <v>53</v>
      </c>
      <c r="C135" s="9" t="s">
        <v>46</v>
      </c>
      <c r="D135" s="9" t="s">
        <v>36</v>
      </c>
      <c r="E135" s="9" t="s">
        <v>26</v>
      </c>
      <c r="F135" s="10">
        <v>190</v>
      </c>
      <c r="G135" s="10">
        <v>27</v>
      </c>
      <c r="H135" s="10">
        <v>134</v>
      </c>
      <c r="I135" s="11">
        <v>31.53</v>
      </c>
      <c r="J135" s="11">
        <v>94.38</v>
      </c>
      <c r="K135" s="10">
        <v>5</v>
      </c>
      <c r="L135" s="9" t="s">
        <v>19</v>
      </c>
      <c r="M135" s="9">
        <v>0</v>
      </c>
      <c r="N135" s="11">
        <v>89.47</v>
      </c>
      <c r="O135" s="26" t="s">
        <v>20</v>
      </c>
      <c r="P135" s="14">
        <f t="shared" si="2"/>
        <v>0.14210526315789473</v>
      </c>
      <c r="Q135" s="17">
        <f>Table1[[#This Row],[Price]]-Table1[[#This Row],[Competitor Pricing]]</f>
        <v>4.9099999999999966</v>
      </c>
    </row>
    <row r="136" spans="1:17" x14ac:dyDescent="0.3">
      <c r="A136" s="20">
        <v>44563</v>
      </c>
      <c r="B136" s="6" t="s">
        <v>53</v>
      </c>
      <c r="C136" s="6" t="s">
        <v>47</v>
      </c>
      <c r="D136" s="6" t="s">
        <v>22</v>
      </c>
      <c r="E136" s="6" t="s">
        <v>18</v>
      </c>
      <c r="F136" s="7">
        <v>353</v>
      </c>
      <c r="G136" s="7">
        <v>106</v>
      </c>
      <c r="H136" s="7">
        <v>191</v>
      </c>
      <c r="I136" s="8">
        <v>110.49</v>
      </c>
      <c r="J136" s="8">
        <v>70.59</v>
      </c>
      <c r="K136" s="7">
        <v>0</v>
      </c>
      <c r="L136" s="6" t="s">
        <v>29</v>
      </c>
      <c r="M136" s="6">
        <v>1</v>
      </c>
      <c r="N136" s="8">
        <v>75.27</v>
      </c>
      <c r="O136" s="25" t="s">
        <v>34</v>
      </c>
      <c r="P136" s="14">
        <f t="shared" si="2"/>
        <v>0.3002832861189802</v>
      </c>
      <c r="Q136" s="17">
        <f>Table1[[#This Row],[Price]]-Table1[[#This Row],[Competitor Pricing]]</f>
        <v>-4.6799999999999926</v>
      </c>
    </row>
    <row r="137" spans="1:17" x14ac:dyDescent="0.3">
      <c r="A137" s="21">
        <v>44563</v>
      </c>
      <c r="B137" s="9" t="s">
        <v>53</v>
      </c>
      <c r="C137" s="9" t="s">
        <v>48</v>
      </c>
      <c r="D137" s="9" t="s">
        <v>22</v>
      </c>
      <c r="E137" s="9" t="s">
        <v>26</v>
      </c>
      <c r="F137" s="10">
        <v>210</v>
      </c>
      <c r="G137" s="10">
        <v>154</v>
      </c>
      <c r="H137" s="10">
        <v>70</v>
      </c>
      <c r="I137" s="11">
        <v>166.83</v>
      </c>
      <c r="J137" s="11">
        <v>63.13</v>
      </c>
      <c r="K137" s="10">
        <v>10</v>
      </c>
      <c r="L137" s="9" t="s">
        <v>24</v>
      </c>
      <c r="M137" s="9">
        <v>0</v>
      </c>
      <c r="N137" s="11">
        <v>67.23</v>
      </c>
      <c r="O137" s="26" t="s">
        <v>20</v>
      </c>
      <c r="P137" s="14">
        <f t="shared" si="2"/>
        <v>0.73333333333333328</v>
      </c>
      <c r="Q137" s="17">
        <f>Table1[[#This Row],[Price]]-Table1[[#This Row],[Competitor Pricing]]</f>
        <v>-4.1000000000000014</v>
      </c>
    </row>
    <row r="138" spans="1:17" x14ac:dyDescent="0.3">
      <c r="A138" s="20">
        <v>44563</v>
      </c>
      <c r="B138" s="6" t="s">
        <v>53</v>
      </c>
      <c r="C138" s="6" t="s">
        <v>49</v>
      </c>
      <c r="D138" s="6" t="s">
        <v>38</v>
      </c>
      <c r="E138" s="6" t="s">
        <v>26</v>
      </c>
      <c r="F138" s="7">
        <v>193</v>
      </c>
      <c r="G138" s="7">
        <v>176</v>
      </c>
      <c r="H138" s="7">
        <v>38</v>
      </c>
      <c r="I138" s="8">
        <v>174.49</v>
      </c>
      <c r="J138" s="8">
        <v>46.04</v>
      </c>
      <c r="K138" s="7">
        <v>5</v>
      </c>
      <c r="L138" s="6" t="s">
        <v>19</v>
      </c>
      <c r="M138" s="6">
        <v>1</v>
      </c>
      <c r="N138" s="8">
        <v>41.4</v>
      </c>
      <c r="O138" s="25" t="s">
        <v>20</v>
      </c>
      <c r="P138" s="14">
        <f t="shared" si="2"/>
        <v>0.91191709844559588</v>
      </c>
      <c r="Q138" s="17">
        <f>Table1[[#This Row],[Price]]-Table1[[#This Row],[Competitor Pricing]]</f>
        <v>4.6400000000000006</v>
      </c>
    </row>
    <row r="139" spans="1:17" x14ac:dyDescent="0.3">
      <c r="A139" s="21">
        <v>44563</v>
      </c>
      <c r="B139" s="9" t="s">
        <v>53</v>
      </c>
      <c r="C139" s="9" t="s">
        <v>50</v>
      </c>
      <c r="D139" s="9" t="s">
        <v>17</v>
      </c>
      <c r="E139" s="9" t="s">
        <v>32</v>
      </c>
      <c r="F139" s="10">
        <v>124</v>
      </c>
      <c r="G139" s="10">
        <v>124</v>
      </c>
      <c r="H139" s="10">
        <v>46</v>
      </c>
      <c r="I139" s="11">
        <v>116.05</v>
      </c>
      <c r="J139" s="11">
        <v>21.07</v>
      </c>
      <c r="K139" s="10">
        <v>10</v>
      </c>
      <c r="L139" s="9" t="s">
        <v>24</v>
      </c>
      <c r="M139" s="9">
        <v>0</v>
      </c>
      <c r="N139" s="11">
        <v>21.71</v>
      </c>
      <c r="O139" s="26" t="s">
        <v>20</v>
      </c>
      <c r="P139" s="14">
        <f t="shared" si="2"/>
        <v>1</v>
      </c>
      <c r="Q139" s="17">
        <f>Table1[[#This Row],[Price]]-Table1[[#This Row],[Competitor Pricing]]</f>
        <v>-0.64000000000000057</v>
      </c>
    </row>
    <row r="140" spans="1:17" x14ac:dyDescent="0.3">
      <c r="A140" s="20">
        <v>44563</v>
      </c>
      <c r="B140" s="6" t="s">
        <v>53</v>
      </c>
      <c r="C140" s="6" t="s">
        <v>51</v>
      </c>
      <c r="D140" s="6" t="s">
        <v>22</v>
      </c>
      <c r="E140" s="6" t="s">
        <v>32</v>
      </c>
      <c r="F140" s="7">
        <v>492</v>
      </c>
      <c r="G140" s="7">
        <v>479</v>
      </c>
      <c r="H140" s="7">
        <v>132</v>
      </c>
      <c r="I140" s="8">
        <v>469.74</v>
      </c>
      <c r="J140" s="8">
        <v>79.11</v>
      </c>
      <c r="K140" s="7">
        <v>0</v>
      </c>
      <c r="L140" s="6" t="s">
        <v>29</v>
      </c>
      <c r="M140" s="6">
        <v>0</v>
      </c>
      <c r="N140" s="8">
        <v>80.06</v>
      </c>
      <c r="O140" s="25" t="s">
        <v>34</v>
      </c>
      <c r="P140" s="14">
        <f t="shared" si="2"/>
        <v>0.97357723577235777</v>
      </c>
      <c r="Q140" s="17">
        <f>Table1[[#This Row],[Price]]-Table1[[#This Row],[Competitor Pricing]]</f>
        <v>-0.95000000000000284</v>
      </c>
    </row>
    <row r="141" spans="1:17" x14ac:dyDescent="0.3">
      <c r="A141" s="21">
        <v>44563</v>
      </c>
      <c r="B141" s="9" t="s">
        <v>53</v>
      </c>
      <c r="C141" s="9" t="s">
        <v>52</v>
      </c>
      <c r="D141" s="9" t="s">
        <v>38</v>
      </c>
      <c r="E141" s="9" t="s">
        <v>23</v>
      </c>
      <c r="F141" s="10">
        <v>222</v>
      </c>
      <c r="G141" s="10">
        <v>78</v>
      </c>
      <c r="H141" s="10">
        <v>42</v>
      </c>
      <c r="I141" s="11">
        <v>76.55</v>
      </c>
      <c r="J141" s="11">
        <v>64.989999999999995</v>
      </c>
      <c r="K141" s="10">
        <v>0</v>
      </c>
      <c r="L141" s="9" t="s">
        <v>24</v>
      </c>
      <c r="M141" s="9">
        <v>1</v>
      </c>
      <c r="N141" s="11">
        <v>65.400000000000006</v>
      </c>
      <c r="O141" s="26" t="s">
        <v>27</v>
      </c>
      <c r="P141" s="14">
        <f t="shared" si="2"/>
        <v>0.35135135135135137</v>
      </c>
      <c r="Q141" s="17">
        <f>Table1[[#This Row],[Price]]-Table1[[#This Row],[Competitor Pricing]]</f>
        <v>-0.4100000000000108</v>
      </c>
    </row>
    <row r="142" spans="1:17" x14ac:dyDescent="0.3">
      <c r="A142" s="20">
        <v>44563</v>
      </c>
      <c r="B142" s="6" t="s">
        <v>54</v>
      </c>
      <c r="C142" s="6" t="s">
        <v>16</v>
      </c>
      <c r="D142" s="6" t="s">
        <v>22</v>
      </c>
      <c r="E142" s="6" t="s">
        <v>26</v>
      </c>
      <c r="F142" s="7">
        <v>277</v>
      </c>
      <c r="G142" s="7">
        <v>114</v>
      </c>
      <c r="H142" s="7">
        <v>40</v>
      </c>
      <c r="I142" s="8">
        <v>132.41</v>
      </c>
      <c r="J142" s="8">
        <v>73.48</v>
      </c>
      <c r="K142" s="7">
        <v>10</v>
      </c>
      <c r="L142" s="6" t="s">
        <v>29</v>
      </c>
      <c r="M142" s="6">
        <v>0</v>
      </c>
      <c r="N142" s="8">
        <v>72.55</v>
      </c>
      <c r="O142" s="25" t="s">
        <v>20</v>
      </c>
      <c r="P142" s="14">
        <f t="shared" si="2"/>
        <v>0.41155234657039713</v>
      </c>
      <c r="Q142" s="17">
        <f>Table1[[#This Row],[Price]]-Table1[[#This Row],[Competitor Pricing]]</f>
        <v>0.93000000000000682</v>
      </c>
    </row>
    <row r="143" spans="1:17" x14ac:dyDescent="0.3">
      <c r="A143" s="21">
        <v>44563</v>
      </c>
      <c r="B143" s="9" t="s">
        <v>54</v>
      </c>
      <c r="C143" s="9" t="s">
        <v>21</v>
      </c>
      <c r="D143" s="9" t="s">
        <v>17</v>
      </c>
      <c r="E143" s="9" t="s">
        <v>32</v>
      </c>
      <c r="F143" s="10">
        <v>175</v>
      </c>
      <c r="G143" s="10">
        <v>2</v>
      </c>
      <c r="H143" s="10">
        <v>140</v>
      </c>
      <c r="I143" s="11">
        <v>-3.4</v>
      </c>
      <c r="J143" s="11">
        <v>87.5</v>
      </c>
      <c r="K143" s="10">
        <v>0</v>
      </c>
      <c r="L143" s="9" t="s">
        <v>19</v>
      </c>
      <c r="M143" s="9">
        <v>0</v>
      </c>
      <c r="N143" s="11">
        <v>91.2</v>
      </c>
      <c r="O143" s="26" t="s">
        <v>20</v>
      </c>
      <c r="P143" s="14">
        <f t="shared" si="2"/>
        <v>1.1428571428571429E-2</v>
      </c>
      <c r="Q143" s="17">
        <f>Table1[[#This Row],[Price]]-Table1[[#This Row],[Competitor Pricing]]</f>
        <v>-3.7000000000000028</v>
      </c>
    </row>
    <row r="144" spans="1:17" x14ac:dyDescent="0.3">
      <c r="A144" s="20">
        <v>44563</v>
      </c>
      <c r="B144" s="6" t="s">
        <v>54</v>
      </c>
      <c r="C144" s="6" t="s">
        <v>25</v>
      </c>
      <c r="D144" s="6" t="s">
        <v>22</v>
      </c>
      <c r="E144" s="6" t="s">
        <v>32</v>
      </c>
      <c r="F144" s="7">
        <v>157</v>
      </c>
      <c r="G144" s="7">
        <v>7</v>
      </c>
      <c r="H144" s="7">
        <v>187</v>
      </c>
      <c r="I144" s="8">
        <v>22.8</v>
      </c>
      <c r="J144" s="8">
        <v>88.68</v>
      </c>
      <c r="K144" s="7">
        <v>20</v>
      </c>
      <c r="L144" s="6" t="s">
        <v>29</v>
      </c>
      <c r="M144" s="6">
        <v>1</v>
      </c>
      <c r="N144" s="8">
        <v>87.38</v>
      </c>
      <c r="O144" s="25" t="s">
        <v>20</v>
      </c>
      <c r="P144" s="14">
        <f t="shared" si="2"/>
        <v>4.4585987261146494E-2</v>
      </c>
      <c r="Q144" s="17">
        <f>Table1[[#This Row],[Price]]-Table1[[#This Row],[Competitor Pricing]]</f>
        <v>1.3000000000000114</v>
      </c>
    </row>
    <row r="145" spans="1:17" x14ac:dyDescent="0.3">
      <c r="A145" s="21">
        <v>44563</v>
      </c>
      <c r="B145" s="9" t="s">
        <v>54</v>
      </c>
      <c r="C145" s="9" t="s">
        <v>28</v>
      </c>
      <c r="D145" s="9" t="s">
        <v>36</v>
      </c>
      <c r="E145" s="9" t="s">
        <v>26</v>
      </c>
      <c r="F145" s="10">
        <v>120</v>
      </c>
      <c r="G145" s="10">
        <v>54</v>
      </c>
      <c r="H145" s="10">
        <v>154</v>
      </c>
      <c r="I145" s="11">
        <v>49.64</v>
      </c>
      <c r="J145" s="11">
        <v>82.36</v>
      </c>
      <c r="K145" s="10">
        <v>20</v>
      </c>
      <c r="L145" s="9" t="s">
        <v>44</v>
      </c>
      <c r="M145" s="9">
        <v>0</v>
      </c>
      <c r="N145" s="11">
        <v>85.85</v>
      </c>
      <c r="O145" s="26" t="s">
        <v>20</v>
      </c>
      <c r="P145" s="14">
        <f t="shared" si="2"/>
        <v>0.45</v>
      </c>
      <c r="Q145" s="17">
        <f>Table1[[#This Row],[Price]]-Table1[[#This Row],[Competitor Pricing]]</f>
        <v>-3.4899999999999949</v>
      </c>
    </row>
    <row r="146" spans="1:17" x14ac:dyDescent="0.3">
      <c r="A146" s="20">
        <v>44563</v>
      </c>
      <c r="B146" s="6" t="s">
        <v>54</v>
      </c>
      <c r="C146" s="6" t="s">
        <v>30</v>
      </c>
      <c r="D146" s="6" t="s">
        <v>36</v>
      </c>
      <c r="E146" s="6" t="s">
        <v>32</v>
      </c>
      <c r="F146" s="7">
        <v>375</v>
      </c>
      <c r="G146" s="7">
        <v>282</v>
      </c>
      <c r="H146" s="7">
        <v>61</v>
      </c>
      <c r="I146" s="8">
        <v>297.42</v>
      </c>
      <c r="J146" s="8">
        <v>38.56</v>
      </c>
      <c r="K146" s="7">
        <v>5</v>
      </c>
      <c r="L146" s="6" t="s">
        <v>29</v>
      </c>
      <c r="M146" s="6">
        <v>0</v>
      </c>
      <c r="N146" s="8">
        <v>36.57</v>
      </c>
      <c r="O146" s="25" t="s">
        <v>34</v>
      </c>
      <c r="P146" s="14">
        <f t="shared" si="2"/>
        <v>0.752</v>
      </c>
      <c r="Q146" s="17">
        <f>Table1[[#This Row],[Price]]-Table1[[#This Row],[Competitor Pricing]]</f>
        <v>1.990000000000002</v>
      </c>
    </row>
    <row r="147" spans="1:17" x14ac:dyDescent="0.3">
      <c r="A147" s="21">
        <v>44563</v>
      </c>
      <c r="B147" s="9" t="s">
        <v>54</v>
      </c>
      <c r="C147" s="9" t="s">
        <v>33</v>
      </c>
      <c r="D147" s="9" t="s">
        <v>17</v>
      </c>
      <c r="E147" s="9" t="s">
        <v>32</v>
      </c>
      <c r="F147" s="10">
        <v>302</v>
      </c>
      <c r="G147" s="10">
        <v>93</v>
      </c>
      <c r="H147" s="10">
        <v>33</v>
      </c>
      <c r="I147" s="11">
        <v>106.58</v>
      </c>
      <c r="J147" s="11">
        <v>97.74</v>
      </c>
      <c r="K147" s="10">
        <v>0</v>
      </c>
      <c r="L147" s="9" t="s">
        <v>29</v>
      </c>
      <c r="M147" s="9">
        <v>0</v>
      </c>
      <c r="N147" s="11">
        <v>97.69</v>
      </c>
      <c r="O147" s="26" t="s">
        <v>34</v>
      </c>
      <c r="P147" s="14">
        <f t="shared" si="2"/>
        <v>0.30794701986754969</v>
      </c>
      <c r="Q147" s="17">
        <f>Table1[[#This Row],[Price]]-Table1[[#This Row],[Competitor Pricing]]</f>
        <v>4.9999999999997158E-2</v>
      </c>
    </row>
    <row r="148" spans="1:17" x14ac:dyDescent="0.3">
      <c r="A148" s="20">
        <v>44563</v>
      </c>
      <c r="B148" s="6" t="s">
        <v>54</v>
      </c>
      <c r="C148" s="6" t="s">
        <v>35</v>
      </c>
      <c r="D148" s="6" t="s">
        <v>31</v>
      </c>
      <c r="E148" s="6" t="s">
        <v>26</v>
      </c>
      <c r="F148" s="7">
        <v>375</v>
      </c>
      <c r="G148" s="7">
        <v>85</v>
      </c>
      <c r="H148" s="7">
        <v>40</v>
      </c>
      <c r="I148" s="8">
        <v>85.31</v>
      </c>
      <c r="J148" s="8">
        <v>37.68</v>
      </c>
      <c r="K148" s="7">
        <v>15</v>
      </c>
      <c r="L148" s="6" t="s">
        <v>29</v>
      </c>
      <c r="M148" s="6">
        <v>0</v>
      </c>
      <c r="N148" s="8">
        <v>36.72</v>
      </c>
      <c r="O148" s="25" t="s">
        <v>20</v>
      </c>
      <c r="P148" s="14">
        <f t="shared" si="2"/>
        <v>0.22666666666666666</v>
      </c>
      <c r="Q148" s="17">
        <f>Table1[[#This Row],[Price]]-Table1[[#This Row],[Competitor Pricing]]</f>
        <v>0.96000000000000085</v>
      </c>
    </row>
    <row r="149" spans="1:17" x14ac:dyDescent="0.3">
      <c r="A149" s="21">
        <v>44563</v>
      </c>
      <c r="B149" s="9" t="s">
        <v>54</v>
      </c>
      <c r="C149" s="9" t="s">
        <v>37</v>
      </c>
      <c r="D149" s="9" t="s">
        <v>38</v>
      </c>
      <c r="E149" s="9" t="s">
        <v>23</v>
      </c>
      <c r="F149" s="10">
        <v>248</v>
      </c>
      <c r="G149" s="10">
        <v>136</v>
      </c>
      <c r="H149" s="10">
        <v>50</v>
      </c>
      <c r="I149" s="11">
        <v>130.52000000000001</v>
      </c>
      <c r="J149" s="11">
        <v>36.03</v>
      </c>
      <c r="K149" s="10">
        <v>5</v>
      </c>
      <c r="L149" s="9" t="s">
        <v>19</v>
      </c>
      <c r="M149" s="9">
        <v>0</v>
      </c>
      <c r="N149" s="11">
        <v>37.49</v>
      </c>
      <c r="O149" s="26" t="s">
        <v>39</v>
      </c>
      <c r="P149" s="14">
        <f t="shared" si="2"/>
        <v>0.54838709677419351</v>
      </c>
      <c r="Q149" s="17">
        <f>Table1[[#This Row],[Price]]-Table1[[#This Row],[Competitor Pricing]]</f>
        <v>-1.4600000000000009</v>
      </c>
    </row>
    <row r="150" spans="1:17" x14ac:dyDescent="0.3">
      <c r="A150" s="20">
        <v>44563</v>
      </c>
      <c r="B150" s="6" t="s">
        <v>54</v>
      </c>
      <c r="C150" s="6" t="s">
        <v>40</v>
      </c>
      <c r="D150" s="6" t="s">
        <v>31</v>
      </c>
      <c r="E150" s="6" t="s">
        <v>26</v>
      </c>
      <c r="F150" s="7">
        <v>219</v>
      </c>
      <c r="G150" s="7">
        <v>140</v>
      </c>
      <c r="H150" s="7">
        <v>196</v>
      </c>
      <c r="I150" s="8">
        <v>139.46</v>
      </c>
      <c r="J150" s="8">
        <v>88.97</v>
      </c>
      <c r="K150" s="7">
        <v>0</v>
      </c>
      <c r="L150" s="6" t="s">
        <v>44</v>
      </c>
      <c r="M150" s="6">
        <v>1</v>
      </c>
      <c r="N150" s="8">
        <v>91.53</v>
      </c>
      <c r="O150" s="25" t="s">
        <v>39</v>
      </c>
      <c r="P150" s="14">
        <f t="shared" si="2"/>
        <v>0.63926940639269403</v>
      </c>
      <c r="Q150" s="17">
        <f>Table1[[#This Row],[Price]]-Table1[[#This Row],[Competitor Pricing]]</f>
        <v>-2.5600000000000023</v>
      </c>
    </row>
    <row r="151" spans="1:17" x14ac:dyDescent="0.3">
      <c r="A151" s="21">
        <v>44563</v>
      </c>
      <c r="B151" s="9" t="s">
        <v>54</v>
      </c>
      <c r="C151" s="9" t="s">
        <v>41</v>
      </c>
      <c r="D151" s="9" t="s">
        <v>36</v>
      </c>
      <c r="E151" s="9" t="s">
        <v>26</v>
      </c>
      <c r="F151" s="10">
        <v>146</v>
      </c>
      <c r="G151" s="10">
        <v>79</v>
      </c>
      <c r="H151" s="10">
        <v>155</v>
      </c>
      <c r="I151" s="11">
        <v>94.23</v>
      </c>
      <c r="J151" s="11">
        <v>16.48</v>
      </c>
      <c r="K151" s="10">
        <v>10</v>
      </c>
      <c r="L151" s="9" t="s">
        <v>29</v>
      </c>
      <c r="M151" s="9">
        <v>1</v>
      </c>
      <c r="N151" s="11">
        <v>21.42</v>
      </c>
      <c r="O151" s="26" t="s">
        <v>39</v>
      </c>
      <c r="P151" s="14">
        <f t="shared" si="2"/>
        <v>0.54109589041095896</v>
      </c>
      <c r="Q151" s="17">
        <f>Table1[[#This Row],[Price]]-Table1[[#This Row],[Competitor Pricing]]</f>
        <v>-4.9400000000000013</v>
      </c>
    </row>
    <row r="152" spans="1:17" x14ac:dyDescent="0.3">
      <c r="A152" s="20">
        <v>44563</v>
      </c>
      <c r="B152" s="6" t="s">
        <v>54</v>
      </c>
      <c r="C152" s="6" t="s">
        <v>42</v>
      </c>
      <c r="D152" s="6" t="s">
        <v>36</v>
      </c>
      <c r="E152" s="6" t="s">
        <v>23</v>
      </c>
      <c r="F152" s="7">
        <v>218</v>
      </c>
      <c r="G152" s="7">
        <v>106</v>
      </c>
      <c r="H152" s="7">
        <v>111</v>
      </c>
      <c r="I152" s="8">
        <v>117.65</v>
      </c>
      <c r="J152" s="8">
        <v>58.37</v>
      </c>
      <c r="K152" s="7">
        <v>10</v>
      </c>
      <c r="L152" s="6" t="s">
        <v>29</v>
      </c>
      <c r="M152" s="6">
        <v>1</v>
      </c>
      <c r="N152" s="8">
        <v>58.1</v>
      </c>
      <c r="O152" s="25" t="s">
        <v>20</v>
      </c>
      <c r="P152" s="14">
        <f t="shared" si="2"/>
        <v>0.48623853211009177</v>
      </c>
      <c r="Q152" s="17">
        <f>Table1[[#This Row],[Price]]-Table1[[#This Row],[Competitor Pricing]]</f>
        <v>0.26999999999999602</v>
      </c>
    </row>
    <row r="153" spans="1:17" x14ac:dyDescent="0.3">
      <c r="A153" s="21">
        <v>44563</v>
      </c>
      <c r="B153" s="9" t="s">
        <v>54</v>
      </c>
      <c r="C153" s="9" t="s">
        <v>43</v>
      </c>
      <c r="D153" s="9" t="s">
        <v>17</v>
      </c>
      <c r="E153" s="9" t="s">
        <v>26</v>
      </c>
      <c r="F153" s="10">
        <v>260</v>
      </c>
      <c r="G153" s="10">
        <v>1</v>
      </c>
      <c r="H153" s="10">
        <v>142</v>
      </c>
      <c r="I153" s="11">
        <v>1.99</v>
      </c>
      <c r="J153" s="11">
        <v>27.86</v>
      </c>
      <c r="K153" s="10">
        <v>5</v>
      </c>
      <c r="L153" s="9" t="s">
        <v>44</v>
      </c>
      <c r="M153" s="9">
        <v>1</v>
      </c>
      <c r="N153" s="11">
        <v>31.78</v>
      </c>
      <c r="O153" s="26" t="s">
        <v>34</v>
      </c>
      <c r="P153" s="14">
        <f t="shared" si="2"/>
        <v>3.8461538461538464E-3</v>
      </c>
      <c r="Q153" s="17">
        <f>Table1[[#This Row],[Price]]-Table1[[#This Row],[Competitor Pricing]]</f>
        <v>-3.9200000000000017</v>
      </c>
    </row>
    <row r="154" spans="1:17" x14ac:dyDescent="0.3">
      <c r="A154" s="20">
        <v>44563</v>
      </c>
      <c r="B154" s="6" t="s">
        <v>54</v>
      </c>
      <c r="C154" s="6" t="s">
        <v>45</v>
      </c>
      <c r="D154" s="6" t="s">
        <v>31</v>
      </c>
      <c r="E154" s="6" t="s">
        <v>26</v>
      </c>
      <c r="F154" s="7">
        <v>414</v>
      </c>
      <c r="G154" s="7">
        <v>203</v>
      </c>
      <c r="H154" s="7">
        <v>53</v>
      </c>
      <c r="I154" s="8">
        <v>206.35</v>
      </c>
      <c r="J154" s="8">
        <v>39.14</v>
      </c>
      <c r="K154" s="7">
        <v>5</v>
      </c>
      <c r="L154" s="6" t="s">
        <v>19</v>
      </c>
      <c r="M154" s="6">
        <v>1</v>
      </c>
      <c r="N154" s="8">
        <v>35.299999999999997</v>
      </c>
      <c r="O154" s="25" t="s">
        <v>20</v>
      </c>
      <c r="P154" s="14">
        <f t="shared" si="2"/>
        <v>0.49033816425120774</v>
      </c>
      <c r="Q154" s="17">
        <f>Table1[[#This Row],[Price]]-Table1[[#This Row],[Competitor Pricing]]</f>
        <v>3.8400000000000034</v>
      </c>
    </row>
    <row r="155" spans="1:17" x14ac:dyDescent="0.3">
      <c r="A155" s="21">
        <v>44563</v>
      </c>
      <c r="B155" s="9" t="s">
        <v>54</v>
      </c>
      <c r="C155" s="9" t="s">
        <v>46</v>
      </c>
      <c r="D155" s="9" t="s">
        <v>22</v>
      </c>
      <c r="E155" s="9" t="s">
        <v>18</v>
      </c>
      <c r="F155" s="10">
        <v>420</v>
      </c>
      <c r="G155" s="10">
        <v>368</v>
      </c>
      <c r="H155" s="10">
        <v>71</v>
      </c>
      <c r="I155" s="11">
        <v>384.47</v>
      </c>
      <c r="J155" s="11">
        <v>66.510000000000005</v>
      </c>
      <c r="K155" s="10">
        <v>0</v>
      </c>
      <c r="L155" s="9" t="s">
        <v>29</v>
      </c>
      <c r="M155" s="9">
        <v>0</v>
      </c>
      <c r="N155" s="11">
        <v>70.84</v>
      </c>
      <c r="O155" s="26" t="s">
        <v>39</v>
      </c>
      <c r="P155" s="14">
        <f t="shared" si="2"/>
        <v>0.87619047619047619</v>
      </c>
      <c r="Q155" s="17">
        <f>Table1[[#This Row],[Price]]-Table1[[#This Row],[Competitor Pricing]]</f>
        <v>-4.3299999999999983</v>
      </c>
    </row>
    <row r="156" spans="1:17" x14ac:dyDescent="0.3">
      <c r="A156" s="20">
        <v>44563</v>
      </c>
      <c r="B156" s="6" t="s">
        <v>54</v>
      </c>
      <c r="C156" s="6" t="s">
        <v>47</v>
      </c>
      <c r="D156" s="6" t="s">
        <v>31</v>
      </c>
      <c r="E156" s="6" t="s">
        <v>32</v>
      </c>
      <c r="F156" s="7">
        <v>435</v>
      </c>
      <c r="G156" s="7">
        <v>286</v>
      </c>
      <c r="H156" s="7">
        <v>159</v>
      </c>
      <c r="I156" s="8">
        <v>283.25</v>
      </c>
      <c r="J156" s="8">
        <v>89.65</v>
      </c>
      <c r="K156" s="7">
        <v>20</v>
      </c>
      <c r="L156" s="6" t="s">
        <v>44</v>
      </c>
      <c r="M156" s="6">
        <v>0</v>
      </c>
      <c r="N156" s="8">
        <v>84.99</v>
      </c>
      <c r="O156" s="25" t="s">
        <v>34</v>
      </c>
      <c r="P156" s="14">
        <f t="shared" si="2"/>
        <v>0.65747126436781611</v>
      </c>
      <c r="Q156" s="17">
        <f>Table1[[#This Row],[Price]]-Table1[[#This Row],[Competitor Pricing]]</f>
        <v>4.6600000000000108</v>
      </c>
    </row>
    <row r="157" spans="1:17" x14ac:dyDescent="0.3">
      <c r="A157" s="21">
        <v>44563</v>
      </c>
      <c r="B157" s="9" t="s">
        <v>54</v>
      </c>
      <c r="C157" s="9" t="s">
        <v>48</v>
      </c>
      <c r="D157" s="9" t="s">
        <v>38</v>
      </c>
      <c r="E157" s="9" t="s">
        <v>23</v>
      </c>
      <c r="F157" s="10">
        <v>230</v>
      </c>
      <c r="G157" s="10">
        <v>69</v>
      </c>
      <c r="H157" s="10">
        <v>173</v>
      </c>
      <c r="I157" s="11">
        <v>70.77</v>
      </c>
      <c r="J157" s="11">
        <v>86.7</v>
      </c>
      <c r="K157" s="10">
        <v>20</v>
      </c>
      <c r="L157" s="9" t="s">
        <v>19</v>
      </c>
      <c r="M157" s="9">
        <v>0</v>
      </c>
      <c r="N157" s="11">
        <v>91.05</v>
      </c>
      <c r="O157" s="26" t="s">
        <v>39</v>
      </c>
      <c r="P157" s="14">
        <f t="shared" si="2"/>
        <v>0.3</v>
      </c>
      <c r="Q157" s="17">
        <f>Table1[[#This Row],[Price]]-Table1[[#This Row],[Competitor Pricing]]</f>
        <v>-4.3499999999999943</v>
      </c>
    </row>
    <row r="158" spans="1:17" x14ac:dyDescent="0.3">
      <c r="A158" s="20">
        <v>44563</v>
      </c>
      <c r="B158" s="6" t="s">
        <v>54</v>
      </c>
      <c r="C158" s="6" t="s">
        <v>49</v>
      </c>
      <c r="D158" s="6" t="s">
        <v>22</v>
      </c>
      <c r="E158" s="6" t="s">
        <v>23</v>
      </c>
      <c r="F158" s="7">
        <v>456</v>
      </c>
      <c r="G158" s="7">
        <v>52</v>
      </c>
      <c r="H158" s="7">
        <v>78</v>
      </c>
      <c r="I158" s="8">
        <v>65.67</v>
      </c>
      <c r="J158" s="8">
        <v>29.69</v>
      </c>
      <c r="K158" s="7">
        <v>20</v>
      </c>
      <c r="L158" s="6" t="s">
        <v>44</v>
      </c>
      <c r="M158" s="6">
        <v>0</v>
      </c>
      <c r="N158" s="8">
        <v>25.27</v>
      </c>
      <c r="O158" s="25" t="s">
        <v>27</v>
      </c>
      <c r="P158" s="14">
        <f t="shared" si="2"/>
        <v>0.11403508771929824</v>
      </c>
      <c r="Q158" s="17">
        <f>Table1[[#This Row],[Price]]-Table1[[#This Row],[Competitor Pricing]]</f>
        <v>4.4200000000000017</v>
      </c>
    </row>
    <row r="159" spans="1:17" x14ac:dyDescent="0.3">
      <c r="A159" s="21">
        <v>44563</v>
      </c>
      <c r="B159" s="9" t="s">
        <v>54</v>
      </c>
      <c r="C159" s="9" t="s">
        <v>50</v>
      </c>
      <c r="D159" s="9" t="s">
        <v>22</v>
      </c>
      <c r="E159" s="9" t="s">
        <v>32</v>
      </c>
      <c r="F159" s="10">
        <v>319</v>
      </c>
      <c r="G159" s="10">
        <v>109</v>
      </c>
      <c r="H159" s="10">
        <v>83</v>
      </c>
      <c r="I159" s="11">
        <v>126.67</v>
      </c>
      <c r="J159" s="11">
        <v>86.93</v>
      </c>
      <c r="K159" s="10">
        <v>10</v>
      </c>
      <c r="L159" s="9" t="s">
        <v>19</v>
      </c>
      <c r="M159" s="9">
        <v>1</v>
      </c>
      <c r="N159" s="11">
        <v>82.59</v>
      </c>
      <c r="O159" s="26" t="s">
        <v>34</v>
      </c>
      <c r="P159" s="14">
        <f t="shared" si="2"/>
        <v>0.34169278996865204</v>
      </c>
      <c r="Q159" s="17">
        <f>Table1[[#This Row],[Price]]-Table1[[#This Row],[Competitor Pricing]]</f>
        <v>4.3400000000000034</v>
      </c>
    </row>
    <row r="160" spans="1:17" x14ac:dyDescent="0.3">
      <c r="A160" s="20">
        <v>44563</v>
      </c>
      <c r="B160" s="6" t="s">
        <v>54</v>
      </c>
      <c r="C160" s="6" t="s">
        <v>51</v>
      </c>
      <c r="D160" s="6" t="s">
        <v>36</v>
      </c>
      <c r="E160" s="6" t="s">
        <v>18</v>
      </c>
      <c r="F160" s="7">
        <v>59</v>
      </c>
      <c r="G160" s="7">
        <v>50</v>
      </c>
      <c r="H160" s="7">
        <v>135</v>
      </c>
      <c r="I160" s="8">
        <v>44.37</v>
      </c>
      <c r="J160" s="8">
        <v>59.33</v>
      </c>
      <c r="K160" s="7">
        <v>10</v>
      </c>
      <c r="L160" s="6" t="s">
        <v>29</v>
      </c>
      <c r="M160" s="6">
        <v>0</v>
      </c>
      <c r="N160" s="8">
        <v>54.98</v>
      </c>
      <c r="O160" s="25" t="s">
        <v>39</v>
      </c>
      <c r="P160" s="14">
        <f t="shared" si="2"/>
        <v>0.84745762711864403</v>
      </c>
      <c r="Q160" s="17">
        <f>Table1[[#This Row],[Price]]-Table1[[#This Row],[Competitor Pricing]]</f>
        <v>4.3500000000000014</v>
      </c>
    </row>
    <row r="161" spans="1:17" x14ac:dyDescent="0.3">
      <c r="A161" s="21">
        <v>44563</v>
      </c>
      <c r="B161" s="9" t="s">
        <v>54</v>
      </c>
      <c r="C161" s="9" t="s">
        <v>52</v>
      </c>
      <c r="D161" s="9" t="s">
        <v>31</v>
      </c>
      <c r="E161" s="9" t="s">
        <v>32</v>
      </c>
      <c r="F161" s="10">
        <v>155</v>
      </c>
      <c r="G161" s="10">
        <v>0</v>
      </c>
      <c r="H161" s="10">
        <v>92</v>
      </c>
      <c r="I161" s="11">
        <v>9.42</v>
      </c>
      <c r="J161" s="11">
        <v>57.07</v>
      </c>
      <c r="K161" s="10">
        <v>10</v>
      </c>
      <c r="L161" s="9" t="s">
        <v>19</v>
      </c>
      <c r="M161" s="9">
        <v>1</v>
      </c>
      <c r="N161" s="11">
        <v>53.34</v>
      </c>
      <c r="O161" s="26" t="s">
        <v>27</v>
      </c>
      <c r="P161" s="14">
        <f t="shared" si="2"/>
        <v>0</v>
      </c>
      <c r="Q161" s="17">
        <f>Table1[[#This Row],[Price]]-Table1[[#This Row],[Competitor Pricing]]</f>
        <v>3.7299999999999969</v>
      </c>
    </row>
    <row r="162" spans="1:17" x14ac:dyDescent="0.3">
      <c r="A162" s="20">
        <v>44563</v>
      </c>
      <c r="B162" s="6" t="s">
        <v>55</v>
      </c>
      <c r="C162" s="6" t="s">
        <v>16</v>
      </c>
      <c r="D162" s="6" t="s">
        <v>31</v>
      </c>
      <c r="E162" s="6" t="s">
        <v>18</v>
      </c>
      <c r="F162" s="7">
        <v>144</v>
      </c>
      <c r="G162" s="7">
        <v>22</v>
      </c>
      <c r="H162" s="7">
        <v>45</v>
      </c>
      <c r="I162" s="8">
        <v>39.119999999999997</v>
      </c>
      <c r="J162" s="8">
        <v>74.16</v>
      </c>
      <c r="K162" s="7">
        <v>15</v>
      </c>
      <c r="L162" s="6" t="s">
        <v>19</v>
      </c>
      <c r="M162" s="6">
        <v>0</v>
      </c>
      <c r="N162" s="8">
        <v>69.739999999999995</v>
      </c>
      <c r="O162" s="25" t="s">
        <v>20</v>
      </c>
      <c r="P162" s="14">
        <f t="shared" si="2"/>
        <v>0.15277777777777779</v>
      </c>
      <c r="Q162" s="17">
        <f>Table1[[#This Row],[Price]]-Table1[[#This Row],[Competitor Pricing]]</f>
        <v>4.4200000000000017</v>
      </c>
    </row>
    <row r="163" spans="1:17" x14ac:dyDescent="0.3">
      <c r="A163" s="21">
        <v>44563</v>
      </c>
      <c r="B163" s="9" t="s">
        <v>55</v>
      </c>
      <c r="C163" s="9" t="s">
        <v>21</v>
      </c>
      <c r="D163" s="9" t="s">
        <v>31</v>
      </c>
      <c r="E163" s="9" t="s">
        <v>32</v>
      </c>
      <c r="F163" s="10">
        <v>283</v>
      </c>
      <c r="G163" s="10">
        <v>45</v>
      </c>
      <c r="H163" s="10">
        <v>156</v>
      </c>
      <c r="I163" s="11">
        <v>46.65</v>
      </c>
      <c r="J163" s="11">
        <v>59.38</v>
      </c>
      <c r="K163" s="10">
        <v>0</v>
      </c>
      <c r="L163" s="9" t="s">
        <v>24</v>
      </c>
      <c r="M163" s="9">
        <v>1</v>
      </c>
      <c r="N163" s="11">
        <v>62.4</v>
      </c>
      <c r="O163" s="26" t="s">
        <v>39</v>
      </c>
      <c r="P163" s="14">
        <f t="shared" si="2"/>
        <v>0.15901060070671377</v>
      </c>
      <c r="Q163" s="17">
        <f>Table1[[#This Row],[Price]]-Table1[[#This Row],[Competitor Pricing]]</f>
        <v>-3.019999999999996</v>
      </c>
    </row>
    <row r="164" spans="1:17" x14ac:dyDescent="0.3">
      <c r="A164" s="20">
        <v>44563</v>
      </c>
      <c r="B164" s="6" t="s">
        <v>55</v>
      </c>
      <c r="C164" s="6" t="s">
        <v>25</v>
      </c>
      <c r="D164" s="6" t="s">
        <v>38</v>
      </c>
      <c r="E164" s="6" t="s">
        <v>32</v>
      </c>
      <c r="F164" s="7">
        <v>347</v>
      </c>
      <c r="G164" s="7">
        <v>89</v>
      </c>
      <c r="H164" s="7">
        <v>122</v>
      </c>
      <c r="I164" s="8">
        <v>87.77</v>
      </c>
      <c r="J164" s="8">
        <v>48.18</v>
      </c>
      <c r="K164" s="7">
        <v>0</v>
      </c>
      <c r="L164" s="6" t="s">
        <v>24</v>
      </c>
      <c r="M164" s="6">
        <v>1</v>
      </c>
      <c r="N164" s="8">
        <v>49.64</v>
      </c>
      <c r="O164" s="25" t="s">
        <v>39</v>
      </c>
      <c r="P164" s="14">
        <f t="shared" si="2"/>
        <v>0.25648414985590778</v>
      </c>
      <c r="Q164" s="17">
        <f>Table1[[#This Row],[Price]]-Table1[[#This Row],[Competitor Pricing]]</f>
        <v>-1.4600000000000009</v>
      </c>
    </row>
    <row r="165" spans="1:17" x14ac:dyDescent="0.3">
      <c r="A165" s="21">
        <v>44563</v>
      </c>
      <c r="B165" s="9" t="s">
        <v>55</v>
      </c>
      <c r="C165" s="9" t="s">
        <v>28</v>
      </c>
      <c r="D165" s="9" t="s">
        <v>17</v>
      </c>
      <c r="E165" s="9" t="s">
        <v>32</v>
      </c>
      <c r="F165" s="10">
        <v>410</v>
      </c>
      <c r="G165" s="10">
        <v>209</v>
      </c>
      <c r="H165" s="10">
        <v>128</v>
      </c>
      <c r="I165" s="11">
        <v>224.66</v>
      </c>
      <c r="J165" s="11">
        <v>94.75</v>
      </c>
      <c r="K165" s="10">
        <v>20</v>
      </c>
      <c r="L165" s="9" t="s">
        <v>44</v>
      </c>
      <c r="M165" s="9">
        <v>0</v>
      </c>
      <c r="N165" s="11">
        <v>90.1</v>
      </c>
      <c r="O165" s="26" t="s">
        <v>20</v>
      </c>
      <c r="P165" s="14">
        <f t="shared" si="2"/>
        <v>0.50975609756097562</v>
      </c>
      <c r="Q165" s="17">
        <f>Table1[[#This Row],[Price]]-Table1[[#This Row],[Competitor Pricing]]</f>
        <v>4.6500000000000057</v>
      </c>
    </row>
    <row r="166" spans="1:17" x14ac:dyDescent="0.3">
      <c r="A166" s="20">
        <v>44563</v>
      </c>
      <c r="B166" s="6" t="s">
        <v>55</v>
      </c>
      <c r="C166" s="6" t="s">
        <v>30</v>
      </c>
      <c r="D166" s="6" t="s">
        <v>22</v>
      </c>
      <c r="E166" s="6" t="s">
        <v>26</v>
      </c>
      <c r="F166" s="7">
        <v>99</v>
      </c>
      <c r="G166" s="7">
        <v>4</v>
      </c>
      <c r="H166" s="7">
        <v>76</v>
      </c>
      <c r="I166" s="8">
        <v>14.91</v>
      </c>
      <c r="J166" s="8">
        <v>60.89</v>
      </c>
      <c r="K166" s="7">
        <v>5</v>
      </c>
      <c r="L166" s="6" t="s">
        <v>24</v>
      </c>
      <c r="M166" s="6">
        <v>0</v>
      </c>
      <c r="N166" s="8">
        <v>59.42</v>
      </c>
      <c r="O166" s="25" t="s">
        <v>20</v>
      </c>
      <c r="P166" s="14">
        <f t="shared" si="2"/>
        <v>4.0404040404040407E-2</v>
      </c>
      <c r="Q166" s="17">
        <f>Table1[[#This Row],[Price]]-Table1[[#This Row],[Competitor Pricing]]</f>
        <v>1.4699999999999989</v>
      </c>
    </row>
    <row r="167" spans="1:17" x14ac:dyDescent="0.3">
      <c r="A167" s="21">
        <v>44563</v>
      </c>
      <c r="B167" s="9" t="s">
        <v>55</v>
      </c>
      <c r="C167" s="9" t="s">
        <v>33</v>
      </c>
      <c r="D167" s="9" t="s">
        <v>22</v>
      </c>
      <c r="E167" s="9" t="s">
        <v>32</v>
      </c>
      <c r="F167" s="10">
        <v>97</v>
      </c>
      <c r="G167" s="10">
        <v>47</v>
      </c>
      <c r="H167" s="10">
        <v>138</v>
      </c>
      <c r="I167" s="11">
        <v>52.02</v>
      </c>
      <c r="J167" s="11">
        <v>14.71</v>
      </c>
      <c r="K167" s="10">
        <v>5</v>
      </c>
      <c r="L167" s="9" t="s">
        <v>29</v>
      </c>
      <c r="M167" s="9">
        <v>0</v>
      </c>
      <c r="N167" s="11">
        <v>16.850000000000001</v>
      </c>
      <c r="O167" s="26" t="s">
        <v>20</v>
      </c>
      <c r="P167" s="14">
        <f t="shared" si="2"/>
        <v>0.4845360824742268</v>
      </c>
      <c r="Q167" s="17">
        <f>Table1[[#This Row],[Price]]-Table1[[#This Row],[Competitor Pricing]]</f>
        <v>-2.1400000000000006</v>
      </c>
    </row>
    <row r="168" spans="1:17" x14ac:dyDescent="0.3">
      <c r="A168" s="20">
        <v>44563</v>
      </c>
      <c r="B168" s="6" t="s">
        <v>55</v>
      </c>
      <c r="C168" s="6" t="s">
        <v>35</v>
      </c>
      <c r="D168" s="6" t="s">
        <v>36</v>
      </c>
      <c r="E168" s="6" t="s">
        <v>26</v>
      </c>
      <c r="F168" s="7">
        <v>339</v>
      </c>
      <c r="G168" s="7">
        <v>115</v>
      </c>
      <c r="H168" s="7">
        <v>95</v>
      </c>
      <c r="I168" s="8">
        <v>124.22</v>
      </c>
      <c r="J168" s="8">
        <v>33.090000000000003</v>
      </c>
      <c r="K168" s="7">
        <v>10</v>
      </c>
      <c r="L168" s="6" t="s">
        <v>19</v>
      </c>
      <c r="M168" s="6">
        <v>0</v>
      </c>
      <c r="N168" s="8">
        <v>28.55</v>
      </c>
      <c r="O168" s="25" t="s">
        <v>39</v>
      </c>
      <c r="P168" s="14">
        <f t="shared" si="2"/>
        <v>0.33923303834808261</v>
      </c>
      <c r="Q168" s="17">
        <f>Table1[[#This Row],[Price]]-Table1[[#This Row],[Competitor Pricing]]</f>
        <v>4.5400000000000027</v>
      </c>
    </row>
    <row r="169" spans="1:17" x14ac:dyDescent="0.3">
      <c r="A169" s="21">
        <v>44563</v>
      </c>
      <c r="B169" s="9" t="s">
        <v>55</v>
      </c>
      <c r="C169" s="9" t="s">
        <v>37</v>
      </c>
      <c r="D169" s="9" t="s">
        <v>22</v>
      </c>
      <c r="E169" s="9" t="s">
        <v>23</v>
      </c>
      <c r="F169" s="10">
        <v>144</v>
      </c>
      <c r="G169" s="10">
        <v>27</v>
      </c>
      <c r="H169" s="10">
        <v>119</v>
      </c>
      <c r="I169" s="11">
        <v>21.73</v>
      </c>
      <c r="J169" s="11">
        <v>98.75</v>
      </c>
      <c r="K169" s="10">
        <v>15</v>
      </c>
      <c r="L169" s="9" t="s">
        <v>44</v>
      </c>
      <c r="M169" s="9">
        <v>0</v>
      </c>
      <c r="N169" s="11">
        <v>102.7</v>
      </c>
      <c r="O169" s="26" t="s">
        <v>27</v>
      </c>
      <c r="P169" s="14">
        <f t="shared" si="2"/>
        <v>0.1875</v>
      </c>
      <c r="Q169" s="17">
        <f>Table1[[#This Row],[Price]]-Table1[[#This Row],[Competitor Pricing]]</f>
        <v>-3.9500000000000028</v>
      </c>
    </row>
    <row r="170" spans="1:17" x14ac:dyDescent="0.3">
      <c r="A170" s="20">
        <v>44563</v>
      </c>
      <c r="B170" s="6" t="s">
        <v>55</v>
      </c>
      <c r="C170" s="6" t="s">
        <v>40</v>
      </c>
      <c r="D170" s="6" t="s">
        <v>36</v>
      </c>
      <c r="E170" s="6" t="s">
        <v>23</v>
      </c>
      <c r="F170" s="7">
        <v>110</v>
      </c>
      <c r="G170" s="7">
        <v>90</v>
      </c>
      <c r="H170" s="7">
        <v>28</v>
      </c>
      <c r="I170" s="8">
        <v>103.6</v>
      </c>
      <c r="J170" s="8">
        <v>12.4</v>
      </c>
      <c r="K170" s="7">
        <v>20</v>
      </c>
      <c r="L170" s="6" t="s">
        <v>44</v>
      </c>
      <c r="M170" s="6">
        <v>0</v>
      </c>
      <c r="N170" s="8">
        <v>8.56</v>
      </c>
      <c r="O170" s="25" t="s">
        <v>20</v>
      </c>
      <c r="P170" s="14">
        <f t="shared" si="2"/>
        <v>0.81818181818181823</v>
      </c>
      <c r="Q170" s="17">
        <f>Table1[[#This Row],[Price]]-Table1[[#This Row],[Competitor Pricing]]</f>
        <v>3.84</v>
      </c>
    </row>
    <row r="171" spans="1:17" x14ac:dyDescent="0.3">
      <c r="A171" s="21">
        <v>44563</v>
      </c>
      <c r="B171" s="9" t="s">
        <v>55</v>
      </c>
      <c r="C171" s="9" t="s">
        <v>41</v>
      </c>
      <c r="D171" s="9" t="s">
        <v>17</v>
      </c>
      <c r="E171" s="9" t="s">
        <v>23</v>
      </c>
      <c r="F171" s="10">
        <v>348</v>
      </c>
      <c r="G171" s="10">
        <v>206</v>
      </c>
      <c r="H171" s="10">
        <v>67</v>
      </c>
      <c r="I171" s="11">
        <v>214.99</v>
      </c>
      <c r="J171" s="11">
        <v>92.01</v>
      </c>
      <c r="K171" s="10">
        <v>15</v>
      </c>
      <c r="L171" s="9" t="s">
        <v>44</v>
      </c>
      <c r="M171" s="9">
        <v>1</v>
      </c>
      <c r="N171" s="11">
        <v>87.81</v>
      </c>
      <c r="O171" s="26" t="s">
        <v>20</v>
      </c>
      <c r="P171" s="14">
        <f t="shared" si="2"/>
        <v>0.59195402298850575</v>
      </c>
      <c r="Q171" s="17">
        <f>Table1[[#This Row],[Price]]-Table1[[#This Row],[Competitor Pricing]]</f>
        <v>4.2000000000000028</v>
      </c>
    </row>
    <row r="172" spans="1:17" x14ac:dyDescent="0.3">
      <c r="A172" s="20">
        <v>44563</v>
      </c>
      <c r="B172" s="6" t="s">
        <v>55</v>
      </c>
      <c r="C172" s="6" t="s">
        <v>42</v>
      </c>
      <c r="D172" s="6" t="s">
        <v>22</v>
      </c>
      <c r="E172" s="6" t="s">
        <v>32</v>
      </c>
      <c r="F172" s="7">
        <v>458</v>
      </c>
      <c r="G172" s="7">
        <v>328</v>
      </c>
      <c r="H172" s="7">
        <v>144</v>
      </c>
      <c r="I172" s="8">
        <v>339.54</v>
      </c>
      <c r="J172" s="8">
        <v>92.12</v>
      </c>
      <c r="K172" s="7">
        <v>20</v>
      </c>
      <c r="L172" s="6" t="s">
        <v>24</v>
      </c>
      <c r="M172" s="6">
        <v>1</v>
      </c>
      <c r="N172" s="8">
        <v>87.37</v>
      </c>
      <c r="O172" s="25" t="s">
        <v>39</v>
      </c>
      <c r="P172" s="14">
        <f t="shared" si="2"/>
        <v>0.71615720524017468</v>
      </c>
      <c r="Q172" s="17">
        <f>Table1[[#This Row],[Price]]-Table1[[#This Row],[Competitor Pricing]]</f>
        <v>4.75</v>
      </c>
    </row>
    <row r="173" spans="1:17" x14ac:dyDescent="0.3">
      <c r="A173" s="21">
        <v>44563</v>
      </c>
      <c r="B173" s="9" t="s">
        <v>55</v>
      </c>
      <c r="C173" s="9" t="s">
        <v>43</v>
      </c>
      <c r="D173" s="9" t="s">
        <v>17</v>
      </c>
      <c r="E173" s="9" t="s">
        <v>23</v>
      </c>
      <c r="F173" s="10">
        <v>403</v>
      </c>
      <c r="G173" s="10">
        <v>155</v>
      </c>
      <c r="H173" s="10">
        <v>24</v>
      </c>
      <c r="I173" s="11">
        <v>145.99</v>
      </c>
      <c r="J173" s="11">
        <v>37.39</v>
      </c>
      <c r="K173" s="10">
        <v>20</v>
      </c>
      <c r="L173" s="9" t="s">
        <v>24</v>
      </c>
      <c r="M173" s="9">
        <v>0</v>
      </c>
      <c r="N173" s="11">
        <v>38.71</v>
      </c>
      <c r="O173" s="26" t="s">
        <v>39</v>
      </c>
      <c r="P173" s="14">
        <f t="shared" si="2"/>
        <v>0.38461538461538464</v>
      </c>
      <c r="Q173" s="17">
        <f>Table1[[#This Row],[Price]]-Table1[[#This Row],[Competitor Pricing]]</f>
        <v>-1.3200000000000003</v>
      </c>
    </row>
    <row r="174" spans="1:17" x14ac:dyDescent="0.3">
      <c r="A174" s="20">
        <v>44563</v>
      </c>
      <c r="B174" s="6" t="s">
        <v>55</v>
      </c>
      <c r="C174" s="6" t="s">
        <v>45</v>
      </c>
      <c r="D174" s="6" t="s">
        <v>38</v>
      </c>
      <c r="E174" s="6" t="s">
        <v>26</v>
      </c>
      <c r="F174" s="7">
        <v>198</v>
      </c>
      <c r="G174" s="7">
        <v>184</v>
      </c>
      <c r="H174" s="7">
        <v>161</v>
      </c>
      <c r="I174" s="8">
        <v>191.55</v>
      </c>
      <c r="J174" s="8">
        <v>85.35</v>
      </c>
      <c r="K174" s="7">
        <v>10</v>
      </c>
      <c r="L174" s="6" t="s">
        <v>19</v>
      </c>
      <c r="M174" s="6">
        <v>1</v>
      </c>
      <c r="N174" s="8">
        <v>80.790000000000006</v>
      </c>
      <c r="O174" s="25" t="s">
        <v>39</v>
      </c>
      <c r="P174" s="14">
        <f t="shared" si="2"/>
        <v>0.92929292929292928</v>
      </c>
      <c r="Q174" s="17">
        <f>Table1[[#This Row],[Price]]-Table1[[#This Row],[Competitor Pricing]]</f>
        <v>4.5599999999999881</v>
      </c>
    </row>
    <row r="175" spans="1:17" x14ac:dyDescent="0.3">
      <c r="A175" s="21">
        <v>44563</v>
      </c>
      <c r="B175" s="9" t="s">
        <v>55</v>
      </c>
      <c r="C175" s="9" t="s">
        <v>46</v>
      </c>
      <c r="D175" s="9" t="s">
        <v>31</v>
      </c>
      <c r="E175" s="9" t="s">
        <v>32</v>
      </c>
      <c r="F175" s="10">
        <v>472</v>
      </c>
      <c r="G175" s="10">
        <v>16</v>
      </c>
      <c r="H175" s="10">
        <v>166</v>
      </c>
      <c r="I175" s="11">
        <v>28.75</v>
      </c>
      <c r="J175" s="11">
        <v>82.64</v>
      </c>
      <c r="K175" s="10">
        <v>0</v>
      </c>
      <c r="L175" s="9" t="s">
        <v>29</v>
      </c>
      <c r="M175" s="9">
        <v>0</v>
      </c>
      <c r="N175" s="11">
        <v>78.349999999999994</v>
      </c>
      <c r="O175" s="26" t="s">
        <v>20</v>
      </c>
      <c r="P175" s="14">
        <f t="shared" si="2"/>
        <v>3.3898305084745763E-2</v>
      </c>
      <c r="Q175" s="17">
        <f>Table1[[#This Row],[Price]]-Table1[[#This Row],[Competitor Pricing]]</f>
        <v>4.2900000000000063</v>
      </c>
    </row>
    <row r="176" spans="1:17" x14ac:dyDescent="0.3">
      <c r="A176" s="20">
        <v>44563</v>
      </c>
      <c r="B176" s="6" t="s">
        <v>55</v>
      </c>
      <c r="C176" s="6" t="s">
        <v>47</v>
      </c>
      <c r="D176" s="6" t="s">
        <v>22</v>
      </c>
      <c r="E176" s="6" t="s">
        <v>18</v>
      </c>
      <c r="F176" s="7">
        <v>178</v>
      </c>
      <c r="G176" s="7">
        <v>90</v>
      </c>
      <c r="H176" s="7">
        <v>79</v>
      </c>
      <c r="I176" s="8">
        <v>98.56</v>
      </c>
      <c r="J176" s="8">
        <v>92.19</v>
      </c>
      <c r="K176" s="7">
        <v>10</v>
      </c>
      <c r="L176" s="6" t="s">
        <v>44</v>
      </c>
      <c r="M176" s="6">
        <v>1</v>
      </c>
      <c r="N176" s="8">
        <v>97.07</v>
      </c>
      <c r="O176" s="25" t="s">
        <v>27</v>
      </c>
      <c r="P176" s="14">
        <f t="shared" si="2"/>
        <v>0.5056179775280899</v>
      </c>
      <c r="Q176" s="17">
        <f>Table1[[#This Row],[Price]]-Table1[[#This Row],[Competitor Pricing]]</f>
        <v>-4.8799999999999955</v>
      </c>
    </row>
    <row r="177" spans="1:17" x14ac:dyDescent="0.3">
      <c r="A177" s="21">
        <v>44563</v>
      </c>
      <c r="B177" s="9" t="s">
        <v>55</v>
      </c>
      <c r="C177" s="9" t="s">
        <v>48</v>
      </c>
      <c r="D177" s="9" t="s">
        <v>38</v>
      </c>
      <c r="E177" s="9" t="s">
        <v>26</v>
      </c>
      <c r="F177" s="10">
        <v>215</v>
      </c>
      <c r="G177" s="10">
        <v>178</v>
      </c>
      <c r="H177" s="10">
        <v>111</v>
      </c>
      <c r="I177" s="11">
        <v>180.76</v>
      </c>
      <c r="J177" s="11">
        <v>61.41</v>
      </c>
      <c r="K177" s="10">
        <v>0</v>
      </c>
      <c r="L177" s="9" t="s">
        <v>24</v>
      </c>
      <c r="M177" s="9">
        <v>0</v>
      </c>
      <c r="N177" s="11">
        <v>61.32</v>
      </c>
      <c r="O177" s="26" t="s">
        <v>39</v>
      </c>
      <c r="P177" s="14">
        <f t="shared" si="2"/>
        <v>0.82790697674418601</v>
      </c>
      <c r="Q177" s="17">
        <f>Table1[[#This Row],[Price]]-Table1[[#This Row],[Competitor Pricing]]</f>
        <v>8.9999999999996305E-2</v>
      </c>
    </row>
    <row r="178" spans="1:17" x14ac:dyDescent="0.3">
      <c r="A178" s="20">
        <v>44563</v>
      </c>
      <c r="B178" s="6" t="s">
        <v>55</v>
      </c>
      <c r="C178" s="6" t="s">
        <v>49</v>
      </c>
      <c r="D178" s="6" t="s">
        <v>31</v>
      </c>
      <c r="E178" s="6" t="s">
        <v>23</v>
      </c>
      <c r="F178" s="7">
        <v>477</v>
      </c>
      <c r="G178" s="7">
        <v>256</v>
      </c>
      <c r="H178" s="7">
        <v>150</v>
      </c>
      <c r="I178" s="8">
        <v>254.89</v>
      </c>
      <c r="J178" s="8">
        <v>96.47</v>
      </c>
      <c r="K178" s="7">
        <v>20</v>
      </c>
      <c r="L178" s="6" t="s">
        <v>29</v>
      </c>
      <c r="M178" s="6">
        <v>0</v>
      </c>
      <c r="N178" s="8">
        <v>93.35</v>
      </c>
      <c r="O178" s="25" t="s">
        <v>39</v>
      </c>
      <c r="P178" s="14">
        <f t="shared" si="2"/>
        <v>0.5366876310272537</v>
      </c>
      <c r="Q178" s="17">
        <f>Table1[[#This Row],[Price]]-Table1[[#This Row],[Competitor Pricing]]</f>
        <v>3.1200000000000045</v>
      </c>
    </row>
    <row r="179" spans="1:17" x14ac:dyDescent="0.3">
      <c r="A179" s="21">
        <v>44563</v>
      </c>
      <c r="B179" s="9" t="s">
        <v>55</v>
      </c>
      <c r="C179" s="9" t="s">
        <v>50</v>
      </c>
      <c r="D179" s="9" t="s">
        <v>36</v>
      </c>
      <c r="E179" s="9" t="s">
        <v>23</v>
      </c>
      <c r="F179" s="10">
        <v>198</v>
      </c>
      <c r="G179" s="10">
        <v>27</v>
      </c>
      <c r="H179" s="10">
        <v>62</v>
      </c>
      <c r="I179" s="11">
        <v>25.51</v>
      </c>
      <c r="J179" s="11">
        <v>89.33</v>
      </c>
      <c r="K179" s="10">
        <v>0</v>
      </c>
      <c r="L179" s="9" t="s">
        <v>24</v>
      </c>
      <c r="M179" s="9">
        <v>0</v>
      </c>
      <c r="N179" s="11">
        <v>89.63</v>
      </c>
      <c r="O179" s="26" t="s">
        <v>39</v>
      </c>
      <c r="P179" s="14">
        <f t="shared" si="2"/>
        <v>0.13636363636363635</v>
      </c>
      <c r="Q179" s="17">
        <f>Table1[[#This Row],[Price]]-Table1[[#This Row],[Competitor Pricing]]</f>
        <v>-0.29999999999999716</v>
      </c>
    </row>
    <row r="180" spans="1:17" x14ac:dyDescent="0.3">
      <c r="A180" s="20">
        <v>44563</v>
      </c>
      <c r="B180" s="6" t="s">
        <v>55</v>
      </c>
      <c r="C180" s="6" t="s">
        <v>51</v>
      </c>
      <c r="D180" s="6" t="s">
        <v>17</v>
      </c>
      <c r="E180" s="6" t="s">
        <v>18</v>
      </c>
      <c r="F180" s="7">
        <v>110</v>
      </c>
      <c r="G180" s="7">
        <v>67</v>
      </c>
      <c r="H180" s="7">
        <v>83</v>
      </c>
      <c r="I180" s="8">
        <v>79.41</v>
      </c>
      <c r="J180" s="8">
        <v>59.49</v>
      </c>
      <c r="K180" s="7">
        <v>20</v>
      </c>
      <c r="L180" s="6" t="s">
        <v>19</v>
      </c>
      <c r="M180" s="6">
        <v>1</v>
      </c>
      <c r="N180" s="8">
        <v>57.55</v>
      </c>
      <c r="O180" s="25" t="s">
        <v>39</v>
      </c>
      <c r="P180" s="14">
        <f t="shared" si="2"/>
        <v>0.60909090909090913</v>
      </c>
      <c r="Q180" s="17">
        <f>Table1[[#This Row],[Price]]-Table1[[#This Row],[Competitor Pricing]]</f>
        <v>1.9400000000000048</v>
      </c>
    </row>
    <row r="181" spans="1:17" x14ac:dyDescent="0.3">
      <c r="A181" s="21">
        <v>44563</v>
      </c>
      <c r="B181" s="9" t="s">
        <v>55</v>
      </c>
      <c r="C181" s="9" t="s">
        <v>52</v>
      </c>
      <c r="D181" s="9" t="s">
        <v>31</v>
      </c>
      <c r="E181" s="9" t="s">
        <v>18</v>
      </c>
      <c r="F181" s="10">
        <v>254</v>
      </c>
      <c r="G181" s="10">
        <v>84</v>
      </c>
      <c r="H181" s="10">
        <v>112</v>
      </c>
      <c r="I181" s="11">
        <v>77.150000000000006</v>
      </c>
      <c r="J181" s="11">
        <v>73.05</v>
      </c>
      <c r="K181" s="10">
        <v>15</v>
      </c>
      <c r="L181" s="9" t="s">
        <v>24</v>
      </c>
      <c r="M181" s="9">
        <v>1</v>
      </c>
      <c r="N181" s="11">
        <v>74.55</v>
      </c>
      <c r="O181" s="26" t="s">
        <v>20</v>
      </c>
      <c r="P181" s="14">
        <f t="shared" si="2"/>
        <v>0.33070866141732286</v>
      </c>
      <c r="Q181" s="17">
        <f>Table1[[#This Row],[Price]]-Table1[[#This Row],[Competitor Pricing]]</f>
        <v>-1.5</v>
      </c>
    </row>
    <row r="182" spans="1:17" x14ac:dyDescent="0.3">
      <c r="A182" s="20">
        <v>44563</v>
      </c>
      <c r="B182" s="6" t="s">
        <v>56</v>
      </c>
      <c r="C182" s="6" t="s">
        <v>16</v>
      </c>
      <c r="D182" s="6" t="s">
        <v>17</v>
      </c>
      <c r="E182" s="6" t="s">
        <v>32</v>
      </c>
      <c r="F182" s="7">
        <v>223</v>
      </c>
      <c r="G182" s="7">
        <v>67</v>
      </c>
      <c r="H182" s="7">
        <v>53</v>
      </c>
      <c r="I182" s="8">
        <v>74.8</v>
      </c>
      <c r="J182" s="8">
        <v>67.489999999999995</v>
      </c>
      <c r="K182" s="7">
        <v>5</v>
      </c>
      <c r="L182" s="6" t="s">
        <v>24</v>
      </c>
      <c r="M182" s="6">
        <v>0</v>
      </c>
      <c r="N182" s="8">
        <v>65.239999999999995</v>
      </c>
      <c r="O182" s="25" t="s">
        <v>34</v>
      </c>
      <c r="P182" s="14">
        <f t="shared" si="2"/>
        <v>0.30044843049327352</v>
      </c>
      <c r="Q182" s="17">
        <f>Table1[[#This Row],[Price]]-Table1[[#This Row],[Competitor Pricing]]</f>
        <v>2.25</v>
      </c>
    </row>
    <row r="183" spans="1:17" x14ac:dyDescent="0.3">
      <c r="A183" s="21">
        <v>44563</v>
      </c>
      <c r="B183" s="9" t="s">
        <v>56</v>
      </c>
      <c r="C183" s="9" t="s">
        <v>21</v>
      </c>
      <c r="D183" s="9" t="s">
        <v>36</v>
      </c>
      <c r="E183" s="9" t="s">
        <v>26</v>
      </c>
      <c r="F183" s="10">
        <v>100</v>
      </c>
      <c r="G183" s="10">
        <v>15</v>
      </c>
      <c r="H183" s="10">
        <v>114</v>
      </c>
      <c r="I183" s="11">
        <v>28.97</v>
      </c>
      <c r="J183" s="11">
        <v>66.05</v>
      </c>
      <c r="K183" s="10">
        <v>10</v>
      </c>
      <c r="L183" s="9" t="s">
        <v>24</v>
      </c>
      <c r="M183" s="9">
        <v>1</v>
      </c>
      <c r="N183" s="11">
        <v>65.16</v>
      </c>
      <c r="O183" s="26" t="s">
        <v>20</v>
      </c>
      <c r="P183" s="14">
        <f t="shared" si="2"/>
        <v>0.15</v>
      </c>
      <c r="Q183" s="17">
        <f>Table1[[#This Row],[Price]]-Table1[[#This Row],[Competitor Pricing]]</f>
        <v>0.89000000000000057</v>
      </c>
    </row>
    <row r="184" spans="1:17" x14ac:dyDescent="0.3">
      <c r="A184" s="20">
        <v>44563</v>
      </c>
      <c r="B184" s="6" t="s">
        <v>56</v>
      </c>
      <c r="C184" s="6" t="s">
        <v>25</v>
      </c>
      <c r="D184" s="6" t="s">
        <v>22</v>
      </c>
      <c r="E184" s="6" t="s">
        <v>26</v>
      </c>
      <c r="F184" s="7">
        <v>397</v>
      </c>
      <c r="G184" s="7">
        <v>333</v>
      </c>
      <c r="H184" s="7">
        <v>35</v>
      </c>
      <c r="I184" s="8">
        <v>336.02</v>
      </c>
      <c r="J184" s="8">
        <v>80.88</v>
      </c>
      <c r="K184" s="7">
        <v>20</v>
      </c>
      <c r="L184" s="6" t="s">
        <v>19</v>
      </c>
      <c r="M184" s="6">
        <v>1</v>
      </c>
      <c r="N184" s="8">
        <v>84.97</v>
      </c>
      <c r="O184" s="25" t="s">
        <v>34</v>
      </c>
      <c r="P184" s="14">
        <f t="shared" si="2"/>
        <v>0.83879093198992438</v>
      </c>
      <c r="Q184" s="17">
        <f>Table1[[#This Row],[Price]]-Table1[[#This Row],[Competitor Pricing]]</f>
        <v>-4.0900000000000034</v>
      </c>
    </row>
    <row r="185" spans="1:17" x14ac:dyDescent="0.3">
      <c r="A185" s="21">
        <v>44563</v>
      </c>
      <c r="B185" s="9" t="s">
        <v>56</v>
      </c>
      <c r="C185" s="9" t="s">
        <v>28</v>
      </c>
      <c r="D185" s="9" t="s">
        <v>17</v>
      </c>
      <c r="E185" s="9" t="s">
        <v>18</v>
      </c>
      <c r="F185" s="10">
        <v>442</v>
      </c>
      <c r="G185" s="10">
        <v>56</v>
      </c>
      <c r="H185" s="10">
        <v>38</v>
      </c>
      <c r="I185" s="11">
        <v>54.08</v>
      </c>
      <c r="J185" s="11">
        <v>60.5</v>
      </c>
      <c r="K185" s="10">
        <v>10</v>
      </c>
      <c r="L185" s="9" t="s">
        <v>29</v>
      </c>
      <c r="M185" s="9">
        <v>1</v>
      </c>
      <c r="N185" s="11">
        <v>64.88</v>
      </c>
      <c r="O185" s="26" t="s">
        <v>39</v>
      </c>
      <c r="P185" s="14">
        <f t="shared" si="2"/>
        <v>0.12669683257918551</v>
      </c>
      <c r="Q185" s="17">
        <f>Table1[[#This Row],[Price]]-Table1[[#This Row],[Competitor Pricing]]</f>
        <v>-4.3799999999999955</v>
      </c>
    </row>
    <row r="186" spans="1:17" x14ac:dyDescent="0.3">
      <c r="A186" s="20">
        <v>44563</v>
      </c>
      <c r="B186" s="6" t="s">
        <v>56</v>
      </c>
      <c r="C186" s="6" t="s">
        <v>30</v>
      </c>
      <c r="D186" s="6" t="s">
        <v>36</v>
      </c>
      <c r="E186" s="6" t="s">
        <v>26</v>
      </c>
      <c r="F186" s="7">
        <v>411</v>
      </c>
      <c r="G186" s="7">
        <v>165</v>
      </c>
      <c r="H186" s="7">
        <v>194</v>
      </c>
      <c r="I186" s="8">
        <v>172.41</v>
      </c>
      <c r="J186" s="8">
        <v>71.72</v>
      </c>
      <c r="K186" s="7">
        <v>20</v>
      </c>
      <c r="L186" s="6" t="s">
        <v>19</v>
      </c>
      <c r="M186" s="6">
        <v>0</v>
      </c>
      <c r="N186" s="8">
        <v>75.17</v>
      </c>
      <c r="O186" s="25" t="s">
        <v>20</v>
      </c>
      <c r="P186" s="14">
        <f t="shared" si="2"/>
        <v>0.40145985401459855</v>
      </c>
      <c r="Q186" s="17">
        <f>Table1[[#This Row],[Price]]-Table1[[#This Row],[Competitor Pricing]]</f>
        <v>-3.4500000000000028</v>
      </c>
    </row>
    <row r="187" spans="1:17" x14ac:dyDescent="0.3">
      <c r="A187" s="21">
        <v>44563</v>
      </c>
      <c r="B187" s="9" t="s">
        <v>56</v>
      </c>
      <c r="C187" s="9" t="s">
        <v>33</v>
      </c>
      <c r="D187" s="9" t="s">
        <v>38</v>
      </c>
      <c r="E187" s="9" t="s">
        <v>18</v>
      </c>
      <c r="F187" s="10">
        <v>76</v>
      </c>
      <c r="G187" s="10">
        <v>54</v>
      </c>
      <c r="H187" s="10">
        <v>175</v>
      </c>
      <c r="I187" s="11">
        <v>49.32</v>
      </c>
      <c r="J187" s="11">
        <v>69.209999999999994</v>
      </c>
      <c r="K187" s="10">
        <v>15</v>
      </c>
      <c r="L187" s="9" t="s">
        <v>19</v>
      </c>
      <c r="M187" s="9">
        <v>1</v>
      </c>
      <c r="N187" s="11">
        <v>71.17</v>
      </c>
      <c r="O187" s="26" t="s">
        <v>27</v>
      </c>
      <c r="P187" s="14">
        <f t="shared" si="2"/>
        <v>0.71052631578947367</v>
      </c>
      <c r="Q187" s="17">
        <f>Table1[[#This Row],[Price]]-Table1[[#This Row],[Competitor Pricing]]</f>
        <v>-1.960000000000008</v>
      </c>
    </row>
    <row r="188" spans="1:17" x14ac:dyDescent="0.3">
      <c r="A188" s="20">
        <v>44563</v>
      </c>
      <c r="B188" s="6" t="s">
        <v>56</v>
      </c>
      <c r="C188" s="6" t="s">
        <v>35</v>
      </c>
      <c r="D188" s="6" t="s">
        <v>38</v>
      </c>
      <c r="E188" s="6" t="s">
        <v>32</v>
      </c>
      <c r="F188" s="7">
        <v>257</v>
      </c>
      <c r="G188" s="7">
        <v>93</v>
      </c>
      <c r="H188" s="7">
        <v>148</v>
      </c>
      <c r="I188" s="8">
        <v>84.69</v>
      </c>
      <c r="J188" s="8">
        <v>70.69</v>
      </c>
      <c r="K188" s="7">
        <v>20</v>
      </c>
      <c r="L188" s="6" t="s">
        <v>44</v>
      </c>
      <c r="M188" s="6">
        <v>0</v>
      </c>
      <c r="N188" s="8">
        <v>71.37</v>
      </c>
      <c r="O188" s="25" t="s">
        <v>34</v>
      </c>
      <c r="P188" s="14">
        <f t="shared" si="2"/>
        <v>0.36186770428015563</v>
      </c>
      <c r="Q188" s="17">
        <f>Table1[[#This Row],[Price]]-Table1[[#This Row],[Competitor Pricing]]</f>
        <v>-0.68000000000000682</v>
      </c>
    </row>
    <row r="189" spans="1:17" x14ac:dyDescent="0.3">
      <c r="A189" s="21">
        <v>44563</v>
      </c>
      <c r="B189" s="9" t="s">
        <v>56</v>
      </c>
      <c r="C189" s="9" t="s">
        <v>37</v>
      </c>
      <c r="D189" s="9" t="s">
        <v>36</v>
      </c>
      <c r="E189" s="9" t="s">
        <v>32</v>
      </c>
      <c r="F189" s="10">
        <v>353</v>
      </c>
      <c r="G189" s="10">
        <v>250</v>
      </c>
      <c r="H189" s="10">
        <v>57</v>
      </c>
      <c r="I189" s="11">
        <v>254.75</v>
      </c>
      <c r="J189" s="11">
        <v>63.54</v>
      </c>
      <c r="K189" s="10">
        <v>15</v>
      </c>
      <c r="L189" s="9" t="s">
        <v>29</v>
      </c>
      <c r="M189" s="9">
        <v>0</v>
      </c>
      <c r="N189" s="11">
        <v>61.05</v>
      </c>
      <c r="O189" s="26" t="s">
        <v>27</v>
      </c>
      <c r="P189" s="14">
        <f t="shared" si="2"/>
        <v>0.70821529745042489</v>
      </c>
      <c r="Q189" s="17">
        <f>Table1[[#This Row],[Price]]-Table1[[#This Row],[Competitor Pricing]]</f>
        <v>2.490000000000002</v>
      </c>
    </row>
    <row r="190" spans="1:17" x14ac:dyDescent="0.3">
      <c r="A190" s="20">
        <v>44563</v>
      </c>
      <c r="B190" s="6" t="s">
        <v>56</v>
      </c>
      <c r="C190" s="6" t="s">
        <v>40</v>
      </c>
      <c r="D190" s="6" t="s">
        <v>31</v>
      </c>
      <c r="E190" s="6" t="s">
        <v>26</v>
      </c>
      <c r="F190" s="7">
        <v>119</v>
      </c>
      <c r="G190" s="7">
        <v>90</v>
      </c>
      <c r="H190" s="7">
        <v>76</v>
      </c>
      <c r="I190" s="8">
        <v>99.63</v>
      </c>
      <c r="J190" s="8">
        <v>78.08</v>
      </c>
      <c r="K190" s="7">
        <v>10</v>
      </c>
      <c r="L190" s="6" t="s">
        <v>24</v>
      </c>
      <c r="M190" s="6">
        <v>0</v>
      </c>
      <c r="N190" s="8">
        <v>73.69</v>
      </c>
      <c r="O190" s="25" t="s">
        <v>34</v>
      </c>
      <c r="P190" s="14">
        <f t="shared" si="2"/>
        <v>0.75630252100840334</v>
      </c>
      <c r="Q190" s="17">
        <f>Table1[[#This Row],[Price]]-Table1[[#This Row],[Competitor Pricing]]</f>
        <v>4.3900000000000006</v>
      </c>
    </row>
    <row r="191" spans="1:17" x14ac:dyDescent="0.3">
      <c r="A191" s="21">
        <v>44563</v>
      </c>
      <c r="B191" s="9" t="s">
        <v>56</v>
      </c>
      <c r="C191" s="9" t="s">
        <v>41</v>
      </c>
      <c r="D191" s="9" t="s">
        <v>36</v>
      </c>
      <c r="E191" s="9" t="s">
        <v>26</v>
      </c>
      <c r="F191" s="10">
        <v>403</v>
      </c>
      <c r="G191" s="10">
        <v>83</v>
      </c>
      <c r="H191" s="10">
        <v>77</v>
      </c>
      <c r="I191" s="11">
        <v>84.32</v>
      </c>
      <c r="J191" s="11">
        <v>43.09</v>
      </c>
      <c r="K191" s="10">
        <v>10</v>
      </c>
      <c r="L191" s="9" t="s">
        <v>24</v>
      </c>
      <c r="M191" s="9">
        <v>1</v>
      </c>
      <c r="N191" s="11">
        <v>47.02</v>
      </c>
      <c r="O191" s="26" t="s">
        <v>39</v>
      </c>
      <c r="P191" s="14">
        <f t="shared" si="2"/>
        <v>0.20595533498759305</v>
      </c>
      <c r="Q191" s="17">
        <f>Table1[[#This Row],[Price]]-Table1[[#This Row],[Competitor Pricing]]</f>
        <v>-3.9299999999999997</v>
      </c>
    </row>
    <row r="192" spans="1:17" x14ac:dyDescent="0.3">
      <c r="A192" s="20">
        <v>44563</v>
      </c>
      <c r="B192" s="6" t="s">
        <v>56</v>
      </c>
      <c r="C192" s="6" t="s">
        <v>42</v>
      </c>
      <c r="D192" s="6" t="s">
        <v>31</v>
      </c>
      <c r="E192" s="6" t="s">
        <v>32</v>
      </c>
      <c r="F192" s="7">
        <v>60</v>
      </c>
      <c r="G192" s="7">
        <v>16</v>
      </c>
      <c r="H192" s="7">
        <v>149</v>
      </c>
      <c r="I192" s="8">
        <v>23.98</v>
      </c>
      <c r="J192" s="8">
        <v>25.67</v>
      </c>
      <c r="K192" s="7">
        <v>5</v>
      </c>
      <c r="L192" s="6" t="s">
        <v>24</v>
      </c>
      <c r="M192" s="6">
        <v>1</v>
      </c>
      <c r="N192" s="8">
        <v>27.78</v>
      </c>
      <c r="O192" s="25" t="s">
        <v>34</v>
      </c>
      <c r="P192" s="14">
        <f t="shared" si="2"/>
        <v>0.26666666666666666</v>
      </c>
      <c r="Q192" s="17">
        <f>Table1[[#This Row],[Price]]-Table1[[#This Row],[Competitor Pricing]]</f>
        <v>-2.1099999999999994</v>
      </c>
    </row>
    <row r="193" spans="1:17" x14ac:dyDescent="0.3">
      <c r="A193" s="21">
        <v>44563</v>
      </c>
      <c r="B193" s="9" t="s">
        <v>56</v>
      </c>
      <c r="C193" s="9" t="s">
        <v>43</v>
      </c>
      <c r="D193" s="9" t="s">
        <v>22</v>
      </c>
      <c r="E193" s="9" t="s">
        <v>26</v>
      </c>
      <c r="F193" s="10">
        <v>182</v>
      </c>
      <c r="G193" s="10">
        <v>87</v>
      </c>
      <c r="H193" s="10">
        <v>121</v>
      </c>
      <c r="I193" s="11">
        <v>83.13</v>
      </c>
      <c r="J193" s="11">
        <v>38.590000000000003</v>
      </c>
      <c r="K193" s="10">
        <v>20</v>
      </c>
      <c r="L193" s="9" t="s">
        <v>19</v>
      </c>
      <c r="M193" s="9">
        <v>0</v>
      </c>
      <c r="N193" s="11">
        <v>33.869999999999997</v>
      </c>
      <c r="O193" s="26" t="s">
        <v>39</v>
      </c>
      <c r="P193" s="14">
        <f t="shared" si="2"/>
        <v>0.47802197802197804</v>
      </c>
      <c r="Q193" s="17">
        <f>Table1[[#This Row],[Price]]-Table1[[#This Row],[Competitor Pricing]]</f>
        <v>4.720000000000006</v>
      </c>
    </row>
    <row r="194" spans="1:17" x14ac:dyDescent="0.3">
      <c r="A194" s="20">
        <v>44563</v>
      </c>
      <c r="B194" s="6" t="s">
        <v>56</v>
      </c>
      <c r="C194" s="6" t="s">
        <v>45</v>
      </c>
      <c r="D194" s="6" t="s">
        <v>36</v>
      </c>
      <c r="E194" s="6" t="s">
        <v>32</v>
      </c>
      <c r="F194" s="7">
        <v>455</v>
      </c>
      <c r="G194" s="7">
        <v>241</v>
      </c>
      <c r="H194" s="7">
        <v>136</v>
      </c>
      <c r="I194" s="8">
        <v>235.03</v>
      </c>
      <c r="J194" s="8">
        <v>57.99</v>
      </c>
      <c r="K194" s="7">
        <v>5</v>
      </c>
      <c r="L194" s="6" t="s">
        <v>24</v>
      </c>
      <c r="M194" s="6">
        <v>0</v>
      </c>
      <c r="N194" s="8">
        <v>55.4</v>
      </c>
      <c r="O194" s="25" t="s">
        <v>39</v>
      </c>
      <c r="P194" s="14">
        <f t="shared" si="2"/>
        <v>0.52967032967032968</v>
      </c>
      <c r="Q194" s="17">
        <f>Table1[[#This Row],[Price]]-Table1[[#This Row],[Competitor Pricing]]</f>
        <v>2.5900000000000034</v>
      </c>
    </row>
    <row r="195" spans="1:17" x14ac:dyDescent="0.3">
      <c r="A195" s="21">
        <v>44563</v>
      </c>
      <c r="B195" s="9" t="s">
        <v>56</v>
      </c>
      <c r="C195" s="9" t="s">
        <v>46</v>
      </c>
      <c r="D195" s="9" t="s">
        <v>22</v>
      </c>
      <c r="E195" s="9" t="s">
        <v>23</v>
      </c>
      <c r="F195" s="10">
        <v>437</v>
      </c>
      <c r="G195" s="10">
        <v>286</v>
      </c>
      <c r="H195" s="10">
        <v>116</v>
      </c>
      <c r="I195" s="11">
        <v>282.52</v>
      </c>
      <c r="J195" s="11">
        <v>14.65</v>
      </c>
      <c r="K195" s="10">
        <v>20</v>
      </c>
      <c r="L195" s="9" t="s">
        <v>44</v>
      </c>
      <c r="M195" s="9">
        <v>1</v>
      </c>
      <c r="N195" s="11">
        <v>13.12</v>
      </c>
      <c r="O195" s="26" t="s">
        <v>34</v>
      </c>
      <c r="P195" s="14">
        <f t="shared" ref="P195:P258" si="3">G195/F195</f>
        <v>0.65446224256292906</v>
      </c>
      <c r="Q195" s="17">
        <f>Table1[[#This Row],[Price]]-Table1[[#This Row],[Competitor Pricing]]</f>
        <v>1.5300000000000011</v>
      </c>
    </row>
    <row r="196" spans="1:17" x14ac:dyDescent="0.3">
      <c r="A196" s="20">
        <v>44563</v>
      </c>
      <c r="B196" s="6" t="s">
        <v>56</v>
      </c>
      <c r="C196" s="6" t="s">
        <v>47</v>
      </c>
      <c r="D196" s="6" t="s">
        <v>38</v>
      </c>
      <c r="E196" s="6" t="s">
        <v>26</v>
      </c>
      <c r="F196" s="7">
        <v>289</v>
      </c>
      <c r="G196" s="7">
        <v>60</v>
      </c>
      <c r="H196" s="7">
        <v>83</v>
      </c>
      <c r="I196" s="8">
        <v>52.77</v>
      </c>
      <c r="J196" s="8">
        <v>63.26</v>
      </c>
      <c r="K196" s="7">
        <v>0</v>
      </c>
      <c r="L196" s="6" t="s">
        <v>19</v>
      </c>
      <c r="M196" s="6">
        <v>1</v>
      </c>
      <c r="N196" s="8">
        <v>61.02</v>
      </c>
      <c r="O196" s="25" t="s">
        <v>20</v>
      </c>
      <c r="P196" s="14">
        <f t="shared" si="3"/>
        <v>0.20761245674740483</v>
      </c>
      <c r="Q196" s="17">
        <f>Table1[[#This Row],[Price]]-Table1[[#This Row],[Competitor Pricing]]</f>
        <v>2.2399999999999949</v>
      </c>
    </row>
    <row r="197" spans="1:17" x14ac:dyDescent="0.3">
      <c r="A197" s="21">
        <v>44563</v>
      </c>
      <c r="B197" s="9" t="s">
        <v>56</v>
      </c>
      <c r="C197" s="9" t="s">
        <v>48</v>
      </c>
      <c r="D197" s="9" t="s">
        <v>17</v>
      </c>
      <c r="E197" s="9" t="s">
        <v>32</v>
      </c>
      <c r="F197" s="10">
        <v>487</v>
      </c>
      <c r="G197" s="10">
        <v>437</v>
      </c>
      <c r="H197" s="10">
        <v>106</v>
      </c>
      <c r="I197" s="11">
        <v>432.86</v>
      </c>
      <c r="J197" s="11">
        <v>43.64</v>
      </c>
      <c r="K197" s="10">
        <v>15</v>
      </c>
      <c r="L197" s="9" t="s">
        <v>29</v>
      </c>
      <c r="M197" s="9">
        <v>1</v>
      </c>
      <c r="N197" s="11">
        <v>39.130000000000003</v>
      </c>
      <c r="O197" s="26" t="s">
        <v>20</v>
      </c>
      <c r="P197" s="14">
        <f t="shared" si="3"/>
        <v>0.89733059548254623</v>
      </c>
      <c r="Q197" s="17">
        <f>Table1[[#This Row],[Price]]-Table1[[#This Row],[Competitor Pricing]]</f>
        <v>4.509999999999998</v>
      </c>
    </row>
    <row r="198" spans="1:17" x14ac:dyDescent="0.3">
      <c r="A198" s="20">
        <v>44563</v>
      </c>
      <c r="B198" s="6" t="s">
        <v>56</v>
      </c>
      <c r="C198" s="6" t="s">
        <v>49</v>
      </c>
      <c r="D198" s="6" t="s">
        <v>22</v>
      </c>
      <c r="E198" s="6" t="s">
        <v>18</v>
      </c>
      <c r="F198" s="7">
        <v>418</v>
      </c>
      <c r="G198" s="7">
        <v>377</v>
      </c>
      <c r="H198" s="7">
        <v>76</v>
      </c>
      <c r="I198" s="8">
        <v>383.26</v>
      </c>
      <c r="J198" s="8">
        <v>84.85</v>
      </c>
      <c r="K198" s="7">
        <v>20</v>
      </c>
      <c r="L198" s="6" t="s">
        <v>24</v>
      </c>
      <c r="M198" s="6">
        <v>1</v>
      </c>
      <c r="N198" s="8">
        <v>84.29</v>
      </c>
      <c r="O198" s="25" t="s">
        <v>27</v>
      </c>
      <c r="P198" s="14">
        <f t="shared" si="3"/>
        <v>0.90191387559808611</v>
      </c>
      <c r="Q198" s="17">
        <f>Table1[[#This Row],[Price]]-Table1[[#This Row],[Competitor Pricing]]</f>
        <v>0.55999999999998806</v>
      </c>
    </row>
    <row r="199" spans="1:17" x14ac:dyDescent="0.3">
      <c r="A199" s="21">
        <v>44563</v>
      </c>
      <c r="B199" s="9" t="s">
        <v>56</v>
      </c>
      <c r="C199" s="9" t="s">
        <v>50</v>
      </c>
      <c r="D199" s="9" t="s">
        <v>38</v>
      </c>
      <c r="E199" s="9" t="s">
        <v>26</v>
      </c>
      <c r="F199" s="10">
        <v>89</v>
      </c>
      <c r="G199" s="10">
        <v>83</v>
      </c>
      <c r="H199" s="10">
        <v>113</v>
      </c>
      <c r="I199" s="11">
        <v>78.67</v>
      </c>
      <c r="J199" s="11">
        <v>47.05</v>
      </c>
      <c r="K199" s="10">
        <v>15</v>
      </c>
      <c r="L199" s="9" t="s">
        <v>19</v>
      </c>
      <c r="M199" s="9">
        <v>1</v>
      </c>
      <c r="N199" s="11">
        <v>47.89</v>
      </c>
      <c r="O199" s="26" t="s">
        <v>39</v>
      </c>
      <c r="P199" s="14">
        <f t="shared" si="3"/>
        <v>0.93258426966292129</v>
      </c>
      <c r="Q199" s="17">
        <f>Table1[[#This Row],[Price]]-Table1[[#This Row],[Competitor Pricing]]</f>
        <v>-0.84000000000000341</v>
      </c>
    </row>
    <row r="200" spans="1:17" x14ac:dyDescent="0.3">
      <c r="A200" s="20">
        <v>44563</v>
      </c>
      <c r="B200" s="6" t="s">
        <v>56</v>
      </c>
      <c r="C200" s="6" t="s">
        <v>51</v>
      </c>
      <c r="D200" s="6" t="s">
        <v>38</v>
      </c>
      <c r="E200" s="6" t="s">
        <v>26</v>
      </c>
      <c r="F200" s="7">
        <v>421</v>
      </c>
      <c r="G200" s="7">
        <v>203</v>
      </c>
      <c r="H200" s="7">
        <v>152</v>
      </c>
      <c r="I200" s="8">
        <v>220.23</v>
      </c>
      <c r="J200" s="8">
        <v>76.83</v>
      </c>
      <c r="K200" s="7">
        <v>20</v>
      </c>
      <c r="L200" s="6" t="s">
        <v>44</v>
      </c>
      <c r="M200" s="6">
        <v>0</v>
      </c>
      <c r="N200" s="8">
        <v>75.86</v>
      </c>
      <c r="O200" s="25" t="s">
        <v>39</v>
      </c>
      <c r="P200" s="14">
        <f t="shared" si="3"/>
        <v>0.48218527315914489</v>
      </c>
      <c r="Q200" s="17">
        <f>Table1[[#This Row],[Price]]-Table1[[#This Row],[Competitor Pricing]]</f>
        <v>0.96999999999999886</v>
      </c>
    </row>
    <row r="201" spans="1:17" x14ac:dyDescent="0.3">
      <c r="A201" s="21">
        <v>44563</v>
      </c>
      <c r="B201" s="9" t="s">
        <v>56</v>
      </c>
      <c r="C201" s="9" t="s">
        <v>52</v>
      </c>
      <c r="D201" s="9" t="s">
        <v>38</v>
      </c>
      <c r="E201" s="9" t="s">
        <v>23</v>
      </c>
      <c r="F201" s="10">
        <v>211</v>
      </c>
      <c r="G201" s="10">
        <v>183</v>
      </c>
      <c r="H201" s="10">
        <v>189</v>
      </c>
      <c r="I201" s="11">
        <v>190.11</v>
      </c>
      <c r="J201" s="11">
        <v>93.95</v>
      </c>
      <c r="K201" s="10">
        <v>10</v>
      </c>
      <c r="L201" s="9" t="s">
        <v>24</v>
      </c>
      <c r="M201" s="9">
        <v>1</v>
      </c>
      <c r="N201" s="11">
        <v>98.89</v>
      </c>
      <c r="O201" s="26" t="s">
        <v>39</v>
      </c>
      <c r="P201" s="14">
        <f t="shared" si="3"/>
        <v>0.86729857819905209</v>
      </c>
      <c r="Q201" s="17">
        <f>Table1[[#This Row],[Price]]-Table1[[#This Row],[Competitor Pricing]]</f>
        <v>-4.9399999999999977</v>
      </c>
    </row>
    <row r="202" spans="1:17" x14ac:dyDescent="0.3">
      <c r="A202" s="20">
        <v>44564</v>
      </c>
      <c r="B202" s="6" t="s">
        <v>15</v>
      </c>
      <c r="C202" s="6" t="s">
        <v>16</v>
      </c>
      <c r="D202" s="6" t="s">
        <v>31</v>
      </c>
      <c r="E202" s="6" t="s">
        <v>26</v>
      </c>
      <c r="F202" s="7">
        <v>154</v>
      </c>
      <c r="G202" s="7">
        <v>5</v>
      </c>
      <c r="H202" s="7">
        <v>189</v>
      </c>
      <c r="I202" s="8">
        <v>5.36</v>
      </c>
      <c r="J202" s="8">
        <v>62.7</v>
      </c>
      <c r="K202" s="7">
        <v>20</v>
      </c>
      <c r="L202" s="6" t="s">
        <v>19</v>
      </c>
      <c r="M202" s="6">
        <v>0</v>
      </c>
      <c r="N202" s="8">
        <v>58.22</v>
      </c>
      <c r="O202" s="25" t="s">
        <v>34</v>
      </c>
      <c r="P202" s="14">
        <f t="shared" si="3"/>
        <v>3.2467532467532464E-2</v>
      </c>
      <c r="Q202" s="17">
        <f>Table1[[#This Row],[Price]]-Table1[[#This Row],[Competitor Pricing]]</f>
        <v>4.480000000000004</v>
      </c>
    </row>
    <row r="203" spans="1:17" x14ac:dyDescent="0.3">
      <c r="A203" s="21">
        <v>44564</v>
      </c>
      <c r="B203" s="9" t="s">
        <v>15</v>
      </c>
      <c r="C203" s="9" t="s">
        <v>21</v>
      </c>
      <c r="D203" s="9" t="s">
        <v>38</v>
      </c>
      <c r="E203" s="9" t="s">
        <v>32</v>
      </c>
      <c r="F203" s="10">
        <v>282</v>
      </c>
      <c r="G203" s="10">
        <v>199</v>
      </c>
      <c r="H203" s="10">
        <v>70</v>
      </c>
      <c r="I203" s="11">
        <v>193.26</v>
      </c>
      <c r="J203" s="11">
        <v>54.02</v>
      </c>
      <c r="K203" s="10">
        <v>0</v>
      </c>
      <c r="L203" s="9" t="s">
        <v>29</v>
      </c>
      <c r="M203" s="9">
        <v>0</v>
      </c>
      <c r="N203" s="11">
        <v>52.91</v>
      </c>
      <c r="O203" s="26" t="s">
        <v>39</v>
      </c>
      <c r="P203" s="14">
        <f t="shared" si="3"/>
        <v>0.70567375886524819</v>
      </c>
      <c r="Q203" s="17">
        <f>Table1[[#This Row],[Price]]-Table1[[#This Row],[Competitor Pricing]]</f>
        <v>1.1100000000000065</v>
      </c>
    </row>
    <row r="204" spans="1:17" x14ac:dyDescent="0.3">
      <c r="A204" s="20">
        <v>44564</v>
      </c>
      <c r="B204" s="6" t="s">
        <v>15</v>
      </c>
      <c r="C204" s="6" t="s">
        <v>25</v>
      </c>
      <c r="D204" s="6" t="s">
        <v>22</v>
      </c>
      <c r="E204" s="6" t="s">
        <v>23</v>
      </c>
      <c r="F204" s="7">
        <v>183</v>
      </c>
      <c r="G204" s="7">
        <v>176</v>
      </c>
      <c r="H204" s="7">
        <v>124</v>
      </c>
      <c r="I204" s="8">
        <v>168.28</v>
      </c>
      <c r="J204" s="8">
        <v>26.03</v>
      </c>
      <c r="K204" s="7">
        <v>10</v>
      </c>
      <c r="L204" s="6" t="s">
        <v>19</v>
      </c>
      <c r="M204" s="6">
        <v>0</v>
      </c>
      <c r="N204" s="8">
        <v>29.38</v>
      </c>
      <c r="O204" s="25" t="s">
        <v>34</v>
      </c>
      <c r="P204" s="14">
        <f t="shared" si="3"/>
        <v>0.96174863387978138</v>
      </c>
      <c r="Q204" s="17">
        <f>Table1[[#This Row],[Price]]-Table1[[#This Row],[Competitor Pricing]]</f>
        <v>-3.3499999999999979</v>
      </c>
    </row>
    <row r="205" spans="1:17" x14ac:dyDescent="0.3">
      <c r="A205" s="21">
        <v>44564</v>
      </c>
      <c r="B205" s="9" t="s">
        <v>15</v>
      </c>
      <c r="C205" s="9" t="s">
        <v>28</v>
      </c>
      <c r="D205" s="9" t="s">
        <v>31</v>
      </c>
      <c r="E205" s="9" t="s">
        <v>32</v>
      </c>
      <c r="F205" s="10">
        <v>239</v>
      </c>
      <c r="G205" s="10">
        <v>214</v>
      </c>
      <c r="H205" s="10">
        <v>51</v>
      </c>
      <c r="I205" s="11">
        <v>228.51</v>
      </c>
      <c r="J205" s="11">
        <v>10.19</v>
      </c>
      <c r="K205" s="10">
        <v>0</v>
      </c>
      <c r="L205" s="9" t="s">
        <v>29</v>
      </c>
      <c r="M205" s="9">
        <v>1</v>
      </c>
      <c r="N205" s="11">
        <v>7.82</v>
      </c>
      <c r="O205" s="26" t="s">
        <v>34</v>
      </c>
      <c r="P205" s="14">
        <f t="shared" si="3"/>
        <v>0.89539748953974896</v>
      </c>
      <c r="Q205" s="17">
        <f>Table1[[#This Row],[Price]]-Table1[[#This Row],[Competitor Pricing]]</f>
        <v>2.3699999999999992</v>
      </c>
    </row>
    <row r="206" spans="1:17" x14ac:dyDescent="0.3">
      <c r="A206" s="20">
        <v>44564</v>
      </c>
      <c r="B206" s="6" t="s">
        <v>15</v>
      </c>
      <c r="C206" s="6" t="s">
        <v>30</v>
      </c>
      <c r="D206" s="6" t="s">
        <v>17</v>
      </c>
      <c r="E206" s="6" t="s">
        <v>26</v>
      </c>
      <c r="F206" s="7">
        <v>368</v>
      </c>
      <c r="G206" s="7">
        <v>165</v>
      </c>
      <c r="H206" s="7">
        <v>56</v>
      </c>
      <c r="I206" s="8">
        <v>170.76</v>
      </c>
      <c r="J206" s="8">
        <v>95.54</v>
      </c>
      <c r="K206" s="7">
        <v>0</v>
      </c>
      <c r="L206" s="6" t="s">
        <v>24</v>
      </c>
      <c r="M206" s="6">
        <v>0</v>
      </c>
      <c r="N206" s="8">
        <v>91.29</v>
      </c>
      <c r="O206" s="25" t="s">
        <v>39</v>
      </c>
      <c r="P206" s="14">
        <f t="shared" si="3"/>
        <v>0.4483695652173913</v>
      </c>
      <c r="Q206" s="17">
        <f>Table1[[#This Row],[Price]]-Table1[[#This Row],[Competitor Pricing]]</f>
        <v>4.25</v>
      </c>
    </row>
    <row r="207" spans="1:17" x14ac:dyDescent="0.3">
      <c r="A207" s="21">
        <v>44564</v>
      </c>
      <c r="B207" s="9" t="s">
        <v>15</v>
      </c>
      <c r="C207" s="9" t="s">
        <v>33</v>
      </c>
      <c r="D207" s="9" t="s">
        <v>36</v>
      </c>
      <c r="E207" s="9" t="s">
        <v>23</v>
      </c>
      <c r="F207" s="10">
        <v>57</v>
      </c>
      <c r="G207" s="10">
        <v>9</v>
      </c>
      <c r="H207" s="10">
        <v>40</v>
      </c>
      <c r="I207" s="11">
        <v>13.6</v>
      </c>
      <c r="J207" s="11">
        <v>57.65</v>
      </c>
      <c r="K207" s="10">
        <v>5</v>
      </c>
      <c r="L207" s="9" t="s">
        <v>24</v>
      </c>
      <c r="M207" s="9">
        <v>0</v>
      </c>
      <c r="N207" s="11">
        <v>58.01</v>
      </c>
      <c r="O207" s="26" t="s">
        <v>27</v>
      </c>
      <c r="P207" s="14">
        <f t="shared" si="3"/>
        <v>0.15789473684210525</v>
      </c>
      <c r="Q207" s="17">
        <f>Table1[[#This Row],[Price]]-Table1[[#This Row],[Competitor Pricing]]</f>
        <v>-0.35999999999999943</v>
      </c>
    </row>
    <row r="208" spans="1:17" x14ac:dyDescent="0.3">
      <c r="A208" s="20">
        <v>44564</v>
      </c>
      <c r="B208" s="6" t="s">
        <v>15</v>
      </c>
      <c r="C208" s="6" t="s">
        <v>35</v>
      </c>
      <c r="D208" s="6" t="s">
        <v>38</v>
      </c>
      <c r="E208" s="6" t="s">
        <v>23</v>
      </c>
      <c r="F208" s="7">
        <v>460</v>
      </c>
      <c r="G208" s="7">
        <v>140</v>
      </c>
      <c r="H208" s="7">
        <v>70</v>
      </c>
      <c r="I208" s="8">
        <v>143.69999999999999</v>
      </c>
      <c r="J208" s="8">
        <v>87.85</v>
      </c>
      <c r="K208" s="7">
        <v>20</v>
      </c>
      <c r="L208" s="6" t="s">
        <v>24</v>
      </c>
      <c r="M208" s="6">
        <v>0</v>
      </c>
      <c r="N208" s="8">
        <v>91.9</v>
      </c>
      <c r="O208" s="25" t="s">
        <v>34</v>
      </c>
      <c r="P208" s="14">
        <f t="shared" si="3"/>
        <v>0.30434782608695654</v>
      </c>
      <c r="Q208" s="17">
        <f>Table1[[#This Row],[Price]]-Table1[[#This Row],[Competitor Pricing]]</f>
        <v>-4.0500000000000114</v>
      </c>
    </row>
    <row r="209" spans="1:17" x14ac:dyDescent="0.3">
      <c r="A209" s="21">
        <v>44564</v>
      </c>
      <c r="B209" s="9" t="s">
        <v>15</v>
      </c>
      <c r="C209" s="9" t="s">
        <v>37</v>
      </c>
      <c r="D209" s="9" t="s">
        <v>17</v>
      </c>
      <c r="E209" s="9" t="s">
        <v>26</v>
      </c>
      <c r="F209" s="10">
        <v>214</v>
      </c>
      <c r="G209" s="10">
        <v>177</v>
      </c>
      <c r="H209" s="10">
        <v>150</v>
      </c>
      <c r="I209" s="11">
        <v>178</v>
      </c>
      <c r="J209" s="11">
        <v>53.94</v>
      </c>
      <c r="K209" s="10">
        <v>5</v>
      </c>
      <c r="L209" s="9" t="s">
        <v>44</v>
      </c>
      <c r="M209" s="9">
        <v>0</v>
      </c>
      <c r="N209" s="11">
        <v>51.47</v>
      </c>
      <c r="O209" s="26" t="s">
        <v>20</v>
      </c>
      <c r="P209" s="14">
        <f t="shared" si="3"/>
        <v>0.82710280373831779</v>
      </c>
      <c r="Q209" s="17">
        <f>Table1[[#This Row],[Price]]-Table1[[#This Row],[Competitor Pricing]]</f>
        <v>2.4699999999999989</v>
      </c>
    </row>
    <row r="210" spans="1:17" x14ac:dyDescent="0.3">
      <c r="A210" s="20">
        <v>44564</v>
      </c>
      <c r="B210" s="6" t="s">
        <v>15</v>
      </c>
      <c r="C210" s="6" t="s">
        <v>40</v>
      </c>
      <c r="D210" s="6" t="s">
        <v>17</v>
      </c>
      <c r="E210" s="6" t="s">
        <v>23</v>
      </c>
      <c r="F210" s="7">
        <v>407</v>
      </c>
      <c r="G210" s="7">
        <v>217</v>
      </c>
      <c r="H210" s="7">
        <v>55</v>
      </c>
      <c r="I210" s="8">
        <v>217.69</v>
      </c>
      <c r="J210" s="8">
        <v>61.42</v>
      </c>
      <c r="K210" s="7">
        <v>20</v>
      </c>
      <c r="L210" s="6" t="s">
        <v>24</v>
      </c>
      <c r="M210" s="6">
        <v>0</v>
      </c>
      <c r="N210" s="8">
        <v>65.86</v>
      </c>
      <c r="O210" s="25" t="s">
        <v>34</v>
      </c>
      <c r="P210" s="14">
        <f t="shared" si="3"/>
        <v>0.53316953316953319</v>
      </c>
      <c r="Q210" s="17">
        <f>Table1[[#This Row],[Price]]-Table1[[#This Row],[Competitor Pricing]]</f>
        <v>-4.4399999999999977</v>
      </c>
    </row>
    <row r="211" spans="1:17" x14ac:dyDescent="0.3">
      <c r="A211" s="21">
        <v>44564</v>
      </c>
      <c r="B211" s="9" t="s">
        <v>15</v>
      </c>
      <c r="C211" s="9" t="s">
        <v>41</v>
      </c>
      <c r="D211" s="9" t="s">
        <v>31</v>
      </c>
      <c r="E211" s="9" t="s">
        <v>26</v>
      </c>
      <c r="F211" s="10">
        <v>51</v>
      </c>
      <c r="G211" s="10">
        <v>47</v>
      </c>
      <c r="H211" s="10">
        <v>155</v>
      </c>
      <c r="I211" s="11">
        <v>38.08</v>
      </c>
      <c r="J211" s="11">
        <v>99.14</v>
      </c>
      <c r="K211" s="10">
        <v>10</v>
      </c>
      <c r="L211" s="9" t="s">
        <v>44</v>
      </c>
      <c r="M211" s="9">
        <v>0</v>
      </c>
      <c r="N211" s="11">
        <v>102.66</v>
      </c>
      <c r="O211" s="26" t="s">
        <v>20</v>
      </c>
      <c r="P211" s="14">
        <f t="shared" si="3"/>
        <v>0.92156862745098034</v>
      </c>
      <c r="Q211" s="17">
        <f>Table1[[#This Row],[Price]]-Table1[[#This Row],[Competitor Pricing]]</f>
        <v>-3.519999999999996</v>
      </c>
    </row>
    <row r="212" spans="1:17" x14ac:dyDescent="0.3">
      <c r="A212" s="20">
        <v>44564</v>
      </c>
      <c r="B212" s="6" t="s">
        <v>15</v>
      </c>
      <c r="C212" s="6" t="s">
        <v>42</v>
      </c>
      <c r="D212" s="6" t="s">
        <v>17</v>
      </c>
      <c r="E212" s="6" t="s">
        <v>32</v>
      </c>
      <c r="F212" s="7">
        <v>252</v>
      </c>
      <c r="G212" s="7">
        <v>3</v>
      </c>
      <c r="H212" s="7">
        <v>98</v>
      </c>
      <c r="I212" s="8">
        <v>5.18</v>
      </c>
      <c r="J212" s="8">
        <v>60.52</v>
      </c>
      <c r="K212" s="7">
        <v>0</v>
      </c>
      <c r="L212" s="6" t="s">
        <v>29</v>
      </c>
      <c r="M212" s="6">
        <v>0</v>
      </c>
      <c r="N212" s="8">
        <v>62.72</v>
      </c>
      <c r="O212" s="25" t="s">
        <v>20</v>
      </c>
      <c r="P212" s="14">
        <f t="shared" si="3"/>
        <v>1.1904761904761904E-2</v>
      </c>
      <c r="Q212" s="17">
        <f>Table1[[#This Row],[Price]]-Table1[[#This Row],[Competitor Pricing]]</f>
        <v>-2.1999999999999957</v>
      </c>
    </row>
    <row r="213" spans="1:17" x14ac:dyDescent="0.3">
      <c r="A213" s="21">
        <v>44564</v>
      </c>
      <c r="B213" s="9" t="s">
        <v>15</v>
      </c>
      <c r="C213" s="9" t="s">
        <v>43</v>
      </c>
      <c r="D213" s="9" t="s">
        <v>38</v>
      </c>
      <c r="E213" s="9" t="s">
        <v>32</v>
      </c>
      <c r="F213" s="10">
        <v>72</v>
      </c>
      <c r="G213" s="10">
        <v>2</v>
      </c>
      <c r="H213" s="10">
        <v>62</v>
      </c>
      <c r="I213" s="11">
        <v>9.81</v>
      </c>
      <c r="J213" s="11">
        <v>86.93</v>
      </c>
      <c r="K213" s="10">
        <v>15</v>
      </c>
      <c r="L213" s="9" t="s">
        <v>29</v>
      </c>
      <c r="M213" s="9">
        <v>0</v>
      </c>
      <c r="N213" s="11">
        <v>83.11</v>
      </c>
      <c r="O213" s="26" t="s">
        <v>27</v>
      </c>
      <c r="P213" s="14">
        <f t="shared" si="3"/>
        <v>2.7777777777777776E-2</v>
      </c>
      <c r="Q213" s="17">
        <f>Table1[[#This Row],[Price]]-Table1[[#This Row],[Competitor Pricing]]</f>
        <v>3.8200000000000074</v>
      </c>
    </row>
    <row r="214" spans="1:17" x14ac:dyDescent="0.3">
      <c r="A214" s="20">
        <v>44564</v>
      </c>
      <c r="B214" s="6" t="s">
        <v>15</v>
      </c>
      <c r="C214" s="6" t="s">
        <v>45</v>
      </c>
      <c r="D214" s="6" t="s">
        <v>38</v>
      </c>
      <c r="E214" s="6" t="s">
        <v>23</v>
      </c>
      <c r="F214" s="7">
        <v>194</v>
      </c>
      <c r="G214" s="7">
        <v>18</v>
      </c>
      <c r="H214" s="7">
        <v>120</v>
      </c>
      <c r="I214" s="8">
        <v>20.05</v>
      </c>
      <c r="J214" s="8">
        <v>83.11</v>
      </c>
      <c r="K214" s="7">
        <v>10</v>
      </c>
      <c r="L214" s="6" t="s">
        <v>44</v>
      </c>
      <c r="M214" s="6">
        <v>1</v>
      </c>
      <c r="N214" s="8">
        <v>85.16</v>
      </c>
      <c r="O214" s="25" t="s">
        <v>27</v>
      </c>
      <c r="P214" s="14">
        <f t="shared" si="3"/>
        <v>9.2783505154639179E-2</v>
      </c>
      <c r="Q214" s="17">
        <f>Table1[[#This Row],[Price]]-Table1[[#This Row],[Competitor Pricing]]</f>
        <v>-2.0499999999999972</v>
      </c>
    </row>
    <row r="215" spans="1:17" x14ac:dyDescent="0.3">
      <c r="A215" s="21">
        <v>44564</v>
      </c>
      <c r="B215" s="9" t="s">
        <v>15</v>
      </c>
      <c r="C215" s="9" t="s">
        <v>46</v>
      </c>
      <c r="D215" s="9" t="s">
        <v>22</v>
      </c>
      <c r="E215" s="9" t="s">
        <v>23</v>
      </c>
      <c r="F215" s="10">
        <v>302</v>
      </c>
      <c r="G215" s="10">
        <v>242</v>
      </c>
      <c r="H215" s="10">
        <v>145</v>
      </c>
      <c r="I215" s="11">
        <v>255.54</v>
      </c>
      <c r="J215" s="11">
        <v>32.28</v>
      </c>
      <c r="K215" s="10">
        <v>10</v>
      </c>
      <c r="L215" s="9" t="s">
        <v>19</v>
      </c>
      <c r="M215" s="9">
        <v>1</v>
      </c>
      <c r="N215" s="11">
        <v>30.1</v>
      </c>
      <c r="O215" s="26" t="s">
        <v>34</v>
      </c>
      <c r="P215" s="14">
        <f t="shared" si="3"/>
        <v>0.80132450331125826</v>
      </c>
      <c r="Q215" s="17">
        <f>Table1[[#This Row],[Price]]-Table1[[#This Row],[Competitor Pricing]]</f>
        <v>2.1799999999999997</v>
      </c>
    </row>
    <row r="216" spans="1:17" x14ac:dyDescent="0.3">
      <c r="A216" s="20">
        <v>44564</v>
      </c>
      <c r="B216" s="6" t="s">
        <v>15</v>
      </c>
      <c r="C216" s="6" t="s">
        <v>47</v>
      </c>
      <c r="D216" s="6" t="s">
        <v>22</v>
      </c>
      <c r="E216" s="6" t="s">
        <v>18</v>
      </c>
      <c r="F216" s="7">
        <v>330</v>
      </c>
      <c r="G216" s="7">
        <v>228</v>
      </c>
      <c r="H216" s="7">
        <v>157</v>
      </c>
      <c r="I216" s="8">
        <v>246.91</v>
      </c>
      <c r="J216" s="8">
        <v>52.17</v>
      </c>
      <c r="K216" s="7">
        <v>10</v>
      </c>
      <c r="L216" s="6" t="s">
        <v>24</v>
      </c>
      <c r="M216" s="6">
        <v>1</v>
      </c>
      <c r="N216" s="8">
        <v>52.43</v>
      </c>
      <c r="O216" s="25" t="s">
        <v>27</v>
      </c>
      <c r="P216" s="14">
        <f t="shared" si="3"/>
        <v>0.69090909090909092</v>
      </c>
      <c r="Q216" s="17">
        <f>Table1[[#This Row],[Price]]-Table1[[#This Row],[Competitor Pricing]]</f>
        <v>-0.25999999999999801</v>
      </c>
    </row>
    <row r="217" spans="1:17" x14ac:dyDescent="0.3">
      <c r="A217" s="21">
        <v>44564</v>
      </c>
      <c r="B217" s="9" t="s">
        <v>15</v>
      </c>
      <c r="C217" s="9" t="s">
        <v>48</v>
      </c>
      <c r="D217" s="9" t="s">
        <v>38</v>
      </c>
      <c r="E217" s="9" t="s">
        <v>32</v>
      </c>
      <c r="F217" s="10">
        <v>148</v>
      </c>
      <c r="G217" s="10">
        <v>31</v>
      </c>
      <c r="H217" s="10">
        <v>160</v>
      </c>
      <c r="I217" s="11">
        <v>35.11</v>
      </c>
      <c r="J217" s="11">
        <v>93.61</v>
      </c>
      <c r="K217" s="10">
        <v>15</v>
      </c>
      <c r="L217" s="9" t="s">
        <v>44</v>
      </c>
      <c r="M217" s="9">
        <v>1</v>
      </c>
      <c r="N217" s="11">
        <v>94.15</v>
      </c>
      <c r="O217" s="26" t="s">
        <v>39</v>
      </c>
      <c r="P217" s="14">
        <f t="shared" si="3"/>
        <v>0.20945945945945946</v>
      </c>
      <c r="Q217" s="17">
        <f>Table1[[#This Row],[Price]]-Table1[[#This Row],[Competitor Pricing]]</f>
        <v>-0.54000000000000625</v>
      </c>
    </row>
    <row r="218" spans="1:17" x14ac:dyDescent="0.3">
      <c r="A218" s="20">
        <v>44564</v>
      </c>
      <c r="B218" s="6" t="s">
        <v>15</v>
      </c>
      <c r="C218" s="6" t="s">
        <v>49</v>
      </c>
      <c r="D218" s="6" t="s">
        <v>38</v>
      </c>
      <c r="E218" s="6" t="s">
        <v>18</v>
      </c>
      <c r="F218" s="7">
        <v>315</v>
      </c>
      <c r="G218" s="7">
        <v>16</v>
      </c>
      <c r="H218" s="7">
        <v>197</v>
      </c>
      <c r="I218" s="8">
        <v>33.51</v>
      </c>
      <c r="J218" s="8">
        <v>98.25</v>
      </c>
      <c r="K218" s="7">
        <v>5</v>
      </c>
      <c r="L218" s="6" t="s">
        <v>24</v>
      </c>
      <c r="M218" s="6">
        <v>0</v>
      </c>
      <c r="N218" s="8">
        <v>100.34</v>
      </c>
      <c r="O218" s="25" t="s">
        <v>39</v>
      </c>
      <c r="P218" s="14">
        <f t="shared" si="3"/>
        <v>5.0793650793650794E-2</v>
      </c>
      <c r="Q218" s="17">
        <f>Table1[[#This Row],[Price]]-Table1[[#This Row],[Competitor Pricing]]</f>
        <v>-2.0900000000000034</v>
      </c>
    </row>
    <row r="219" spans="1:17" x14ac:dyDescent="0.3">
      <c r="A219" s="21">
        <v>44564</v>
      </c>
      <c r="B219" s="9" t="s">
        <v>15</v>
      </c>
      <c r="C219" s="9" t="s">
        <v>50</v>
      </c>
      <c r="D219" s="9" t="s">
        <v>36</v>
      </c>
      <c r="E219" s="9" t="s">
        <v>32</v>
      </c>
      <c r="F219" s="10">
        <v>97</v>
      </c>
      <c r="G219" s="10">
        <v>20</v>
      </c>
      <c r="H219" s="10">
        <v>147</v>
      </c>
      <c r="I219" s="11">
        <v>37.26</v>
      </c>
      <c r="J219" s="11">
        <v>78.53</v>
      </c>
      <c r="K219" s="10">
        <v>5</v>
      </c>
      <c r="L219" s="9" t="s">
        <v>19</v>
      </c>
      <c r="M219" s="9">
        <v>0</v>
      </c>
      <c r="N219" s="11">
        <v>75.48</v>
      </c>
      <c r="O219" s="26" t="s">
        <v>20</v>
      </c>
      <c r="P219" s="14">
        <f t="shared" si="3"/>
        <v>0.20618556701030927</v>
      </c>
      <c r="Q219" s="17">
        <f>Table1[[#This Row],[Price]]-Table1[[#This Row],[Competitor Pricing]]</f>
        <v>3.0499999999999972</v>
      </c>
    </row>
    <row r="220" spans="1:17" x14ac:dyDescent="0.3">
      <c r="A220" s="20">
        <v>44564</v>
      </c>
      <c r="B220" s="6" t="s">
        <v>15</v>
      </c>
      <c r="C220" s="6" t="s">
        <v>51</v>
      </c>
      <c r="D220" s="6" t="s">
        <v>36</v>
      </c>
      <c r="E220" s="6" t="s">
        <v>23</v>
      </c>
      <c r="F220" s="7">
        <v>240</v>
      </c>
      <c r="G220" s="7">
        <v>193</v>
      </c>
      <c r="H220" s="7">
        <v>171</v>
      </c>
      <c r="I220" s="8">
        <v>203.45</v>
      </c>
      <c r="J220" s="8">
        <v>56.91</v>
      </c>
      <c r="K220" s="7">
        <v>0</v>
      </c>
      <c r="L220" s="6" t="s">
        <v>24</v>
      </c>
      <c r="M220" s="6">
        <v>1</v>
      </c>
      <c r="N220" s="8">
        <v>54.2</v>
      </c>
      <c r="O220" s="25" t="s">
        <v>39</v>
      </c>
      <c r="P220" s="14">
        <f t="shared" si="3"/>
        <v>0.8041666666666667</v>
      </c>
      <c r="Q220" s="17">
        <f>Table1[[#This Row],[Price]]-Table1[[#This Row],[Competitor Pricing]]</f>
        <v>2.7099999999999937</v>
      </c>
    </row>
    <row r="221" spans="1:17" x14ac:dyDescent="0.3">
      <c r="A221" s="21">
        <v>44564</v>
      </c>
      <c r="B221" s="9" t="s">
        <v>15</v>
      </c>
      <c r="C221" s="9" t="s">
        <v>52</v>
      </c>
      <c r="D221" s="9" t="s">
        <v>22</v>
      </c>
      <c r="E221" s="9" t="s">
        <v>18</v>
      </c>
      <c r="F221" s="10">
        <v>178</v>
      </c>
      <c r="G221" s="10">
        <v>118</v>
      </c>
      <c r="H221" s="10">
        <v>162</v>
      </c>
      <c r="I221" s="11">
        <v>110.02</v>
      </c>
      <c r="J221" s="11">
        <v>35.32</v>
      </c>
      <c r="K221" s="10">
        <v>20</v>
      </c>
      <c r="L221" s="9" t="s">
        <v>29</v>
      </c>
      <c r="M221" s="9">
        <v>1</v>
      </c>
      <c r="N221" s="11">
        <v>37.56</v>
      </c>
      <c r="O221" s="26" t="s">
        <v>27</v>
      </c>
      <c r="P221" s="14">
        <f t="shared" si="3"/>
        <v>0.6629213483146067</v>
      </c>
      <c r="Q221" s="17">
        <f>Table1[[#This Row],[Price]]-Table1[[#This Row],[Competitor Pricing]]</f>
        <v>-2.240000000000002</v>
      </c>
    </row>
    <row r="222" spans="1:17" x14ac:dyDescent="0.3">
      <c r="A222" s="20">
        <v>44564</v>
      </c>
      <c r="B222" s="6" t="s">
        <v>53</v>
      </c>
      <c r="C222" s="6" t="s">
        <v>16</v>
      </c>
      <c r="D222" s="6" t="s">
        <v>22</v>
      </c>
      <c r="E222" s="6" t="s">
        <v>18</v>
      </c>
      <c r="F222" s="7">
        <v>405</v>
      </c>
      <c r="G222" s="7">
        <v>96</v>
      </c>
      <c r="H222" s="7">
        <v>171</v>
      </c>
      <c r="I222" s="8">
        <v>100.82</v>
      </c>
      <c r="J222" s="8">
        <v>48.08</v>
      </c>
      <c r="K222" s="7">
        <v>0</v>
      </c>
      <c r="L222" s="6" t="s">
        <v>19</v>
      </c>
      <c r="M222" s="6">
        <v>1</v>
      </c>
      <c r="N222" s="8">
        <v>49.4</v>
      </c>
      <c r="O222" s="25" t="s">
        <v>20</v>
      </c>
      <c r="P222" s="14">
        <f t="shared" si="3"/>
        <v>0.23703703703703705</v>
      </c>
      <c r="Q222" s="17">
        <f>Table1[[#This Row],[Price]]-Table1[[#This Row],[Competitor Pricing]]</f>
        <v>-1.3200000000000003</v>
      </c>
    </row>
    <row r="223" spans="1:17" x14ac:dyDescent="0.3">
      <c r="A223" s="21">
        <v>44564</v>
      </c>
      <c r="B223" s="9" t="s">
        <v>53</v>
      </c>
      <c r="C223" s="9" t="s">
        <v>21</v>
      </c>
      <c r="D223" s="9" t="s">
        <v>31</v>
      </c>
      <c r="E223" s="9" t="s">
        <v>18</v>
      </c>
      <c r="F223" s="10">
        <v>200</v>
      </c>
      <c r="G223" s="10">
        <v>48</v>
      </c>
      <c r="H223" s="10">
        <v>47</v>
      </c>
      <c r="I223" s="11">
        <v>55.45</v>
      </c>
      <c r="J223" s="11">
        <v>46.95</v>
      </c>
      <c r="K223" s="10">
        <v>15</v>
      </c>
      <c r="L223" s="9" t="s">
        <v>44</v>
      </c>
      <c r="M223" s="9">
        <v>1</v>
      </c>
      <c r="N223" s="11">
        <v>43.48</v>
      </c>
      <c r="O223" s="26" t="s">
        <v>27</v>
      </c>
      <c r="P223" s="14">
        <f t="shared" si="3"/>
        <v>0.24</v>
      </c>
      <c r="Q223" s="17">
        <f>Table1[[#This Row],[Price]]-Table1[[#This Row],[Competitor Pricing]]</f>
        <v>3.470000000000006</v>
      </c>
    </row>
    <row r="224" spans="1:17" x14ac:dyDescent="0.3">
      <c r="A224" s="20">
        <v>44564</v>
      </c>
      <c r="B224" s="6" t="s">
        <v>53</v>
      </c>
      <c r="C224" s="6" t="s">
        <v>25</v>
      </c>
      <c r="D224" s="6" t="s">
        <v>36</v>
      </c>
      <c r="E224" s="6" t="s">
        <v>26</v>
      </c>
      <c r="F224" s="7">
        <v>327</v>
      </c>
      <c r="G224" s="7">
        <v>130</v>
      </c>
      <c r="H224" s="7">
        <v>166</v>
      </c>
      <c r="I224" s="8">
        <v>127.03</v>
      </c>
      <c r="J224" s="8">
        <v>94.45</v>
      </c>
      <c r="K224" s="7">
        <v>20</v>
      </c>
      <c r="L224" s="6" t="s">
        <v>29</v>
      </c>
      <c r="M224" s="6">
        <v>1</v>
      </c>
      <c r="N224" s="8">
        <v>99.26</v>
      </c>
      <c r="O224" s="25" t="s">
        <v>34</v>
      </c>
      <c r="P224" s="14">
        <f t="shared" si="3"/>
        <v>0.39755351681957185</v>
      </c>
      <c r="Q224" s="17">
        <f>Table1[[#This Row],[Price]]-Table1[[#This Row],[Competitor Pricing]]</f>
        <v>-4.8100000000000023</v>
      </c>
    </row>
    <row r="225" spans="1:17" x14ac:dyDescent="0.3">
      <c r="A225" s="21">
        <v>44564</v>
      </c>
      <c r="B225" s="9" t="s">
        <v>53</v>
      </c>
      <c r="C225" s="9" t="s">
        <v>28</v>
      </c>
      <c r="D225" s="9" t="s">
        <v>17</v>
      </c>
      <c r="E225" s="9" t="s">
        <v>18</v>
      </c>
      <c r="F225" s="10">
        <v>409</v>
      </c>
      <c r="G225" s="10">
        <v>11</v>
      </c>
      <c r="H225" s="10">
        <v>48</v>
      </c>
      <c r="I225" s="11">
        <v>8.25</v>
      </c>
      <c r="J225" s="11">
        <v>27.28</v>
      </c>
      <c r="K225" s="10">
        <v>10</v>
      </c>
      <c r="L225" s="9" t="s">
        <v>44</v>
      </c>
      <c r="M225" s="9">
        <v>1</v>
      </c>
      <c r="N225" s="11">
        <v>28.61</v>
      </c>
      <c r="O225" s="26" t="s">
        <v>20</v>
      </c>
      <c r="P225" s="14">
        <f t="shared" si="3"/>
        <v>2.6894865525672371E-2</v>
      </c>
      <c r="Q225" s="17">
        <f>Table1[[#This Row],[Price]]-Table1[[#This Row],[Competitor Pricing]]</f>
        <v>-1.3299999999999983</v>
      </c>
    </row>
    <row r="226" spans="1:17" x14ac:dyDescent="0.3">
      <c r="A226" s="20">
        <v>44564</v>
      </c>
      <c r="B226" s="6" t="s">
        <v>53</v>
      </c>
      <c r="C226" s="6" t="s">
        <v>30</v>
      </c>
      <c r="D226" s="6" t="s">
        <v>17</v>
      </c>
      <c r="E226" s="6" t="s">
        <v>26</v>
      </c>
      <c r="F226" s="7">
        <v>327</v>
      </c>
      <c r="G226" s="7">
        <v>313</v>
      </c>
      <c r="H226" s="7">
        <v>194</v>
      </c>
      <c r="I226" s="8">
        <v>326.56</v>
      </c>
      <c r="J226" s="8">
        <v>29.74</v>
      </c>
      <c r="K226" s="7">
        <v>0</v>
      </c>
      <c r="L226" s="6" t="s">
        <v>44</v>
      </c>
      <c r="M226" s="6">
        <v>1</v>
      </c>
      <c r="N226" s="8">
        <v>31.67</v>
      </c>
      <c r="O226" s="25" t="s">
        <v>34</v>
      </c>
      <c r="P226" s="14">
        <f t="shared" si="3"/>
        <v>0.95718654434250761</v>
      </c>
      <c r="Q226" s="17">
        <f>Table1[[#This Row],[Price]]-Table1[[#This Row],[Competitor Pricing]]</f>
        <v>-1.9300000000000033</v>
      </c>
    </row>
    <row r="227" spans="1:17" x14ac:dyDescent="0.3">
      <c r="A227" s="21">
        <v>44564</v>
      </c>
      <c r="B227" s="9" t="s">
        <v>53</v>
      </c>
      <c r="C227" s="9" t="s">
        <v>33</v>
      </c>
      <c r="D227" s="9" t="s">
        <v>36</v>
      </c>
      <c r="E227" s="9" t="s">
        <v>18</v>
      </c>
      <c r="F227" s="10">
        <v>388</v>
      </c>
      <c r="G227" s="10">
        <v>352</v>
      </c>
      <c r="H227" s="10">
        <v>199</v>
      </c>
      <c r="I227" s="11">
        <v>365.82</v>
      </c>
      <c r="J227" s="11">
        <v>27.64</v>
      </c>
      <c r="K227" s="10">
        <v>5</v>
      </c>
      <c r="L227" s="9" t="s">
        <v>44</v>
      </c>
      <c r="M227" s="9">
        <v>0</v>
      </c>
      <c r="N227" s="11">
        <v>27.19</v>
      </c>
      <c r="O227" s="26" t="s">
        <v>27</v>
      </c>
      <c r="P227" s="14">
        <f t="shared" si="3"/>
        <v>0.90721649484536082</v>
      </c>
      <c r="Q227" s="17">
        <f>Table1[[#This Row],[Price]]-Table1[[#This Row],[Competitor Pricing]]</f>
        <v>0.44999999999999929</v>
      </c>
    </row>
    <row r="228" spans="1:17" x14ac:dyDescent="0.3">
      <c r="A228" s="20">
        <v>44564</v>
      </c>
      <c r="B228" s="6" t="s">
        <v>53</v>
      </c>
      <c r="C228" s="6" t="s">
        <v>35</v>
      </c>
      <c r="D228" s="6" t="s">
        <v>22</v>
      </c>
      <c r="E228" s="6" t="s">
        <v>23</v>
      </c>
      <c r="F228" s="7">
        <v>483</v>
      </c>
      <c r="G228" s="7">
        <v>265</v>
      </c>
      <c r="H228" s="7">
        <v>108</v>
      </c>
      <c r="I228" s="8">
        <v>277.23</v>
      </c>
      <c r="J228" s="8">
        <v>60.54</v>
      </c>
      <c r="K228" s="7">
        <v>5</v>
      </c>
      <c r="L228" s="6" t="s">
        <v>19</v>
      </c>
      <c r="M228" s="6">
        <v>0</v>
      </c>
      <c r="N228" s="8">
        <v>55.83</v>
      </c>
      <c r="O228" s="25" t="s">
        <v>20</v>
      </c>
      <c r="P228" s="14">
        <f t="shared" si="3"/>
        <v>0.54865424430641818</v>
      </c>
      <c r="Q228" s="17">
        <f>Table1[[#This Row],[Price]]-Table1[[#This Row],[Competitor Pricing]]</f>
        <v>4.7100000000000009</v>
      </c>
    </row>
    <row r="229" spans="1:17" x14ac:dyDescent="0.3">
      <c r="A229" s="21">
        <v>44564</v>
      </c>
      <c r="B229" s="9" t="s">
        <v>53</v>
      </c>
      <c r="C229" s="9" t="s">
        <v>37</v>
      </c>
      <c r="D229" s="9" t="s">
        <v>36</v>
      </c>
      <c r="E229" s="9" t="s">
        <v>23</v>
      </c>
      <c r="F229" s="10">
        <v>70</v>
      </c>
      <c r="G229" s="10">
        <v>11</v>
      </c>
      <c r="H229" s="10">
        <v>137</v>
      </c>
      <c r="I229" s="11">
        <v>23.62</v>
      </c>
      <c r="J229" s="11">
        <v>58.55</v>
      </c>
      <c r="K229" s="10">
        <v>10</v>
      </c>
      <c r="L229" s="9" t="s">
        <v>29</v>
      </c>
      <c r="M229" s="9">
        <v>0</v>
      </c>
      <c r="N229" s="11">
        <v>63.45</v>
      </c>
      <c r="O229" s="26" t="s">
        <v>27</v>
      </c>
      <c r="P229" s="14">
        <f t="shared" si="3"/>
        <v>0.15714285714285714</v>
      </c>
      <c r="Q229" s="17">
        <f>Table1[[#This Row],[Price]]-Table1[[#This Row],[Competitor Pricing]]</f>
        <v>-4.9000000000000057</v>
      </c>
    </row>
    <row r="230" spans="1:17" x14ac:dyDescent="0.3">
      <c r="A230" s="20">
        <v>44564</v>
      </c>
      <c r="B230" s="6" t="s">
        <v>53</v>
      </c>
      <c r="C230" s="6" t="s">
        <v>40</v>
      </c>
      <c r="D230" s="6" t="s">
        <v>17</v>
      </c>
      <c r="E230" s="6" t="s">
        <v>23</v>
      </c>
      <c r="F230" s="7">
        <v>288</v>
      </c>
      <c r="G230" s="7">
        <v>191</v>
      </c>
      <c r="H230" s="7">
        <v>29</v>
      </c>
      <c r="I230" s="8">
        <v>207.27</v>
      </c>
      <c r="J230" s="8">
        <v>58.59</v>
      </c>
      <c r="K230" s="7">
        <v>0</v>
      </c>
      <c r="L230" s="6" t="s">
        <v>29</v>
      </c>
      <c r="M230" s="6">
        <v>0</v>
      </c>
      <c r="N230" s="8">
        <v>60.98</v>
      </c>
      <c r="O230" s="25" t="s">
        <v>27</v>
      </c>
      <c r="P230" s="14">
        <f t="shared" si="3"/>
        <v>0.66319444444444442</v>
      </c>
      <c r="Q230" s="17">
        <f>Table1[[#This Row],[Price]]-Table1[[#This Row],[Competitor Pricing]]</f>
        <v>-2.3899999999999935</v>
      </c>
    </row>
    <row r="231" spans="1:17" x14ac:dyDescent="0.3">
      <c r="A231" s="21">
        <v>44564</v>
      </c>
      <c r="B231" s="9" t="s">
        <v>53</v>
      </c>
      <c r="C231" s="9" t="s">
        <v>41</v>
      </c>
      <c r="D231" s="9" t="s">
        <v>31</v>
      </c>
      <c r="E231" s="9" t="s">
        <v>26</v>
      </c>
      <c r="F231" s="10">
        <v>270</v>
      </c>
      <c r="G231" s="10">
        <v>185</v>
      </c>
      <c r="H231" s="10">
        <v>150</v>
      </c>
      <c r="I231" s="11">
        <v>192.21</v>
      </c>
      <c r="J231" s="11">
        <v>95.48</v>
      </c>
      <c r="K231" s="10">
        <v>0</v>
      </c>
      <c r="L231" s="9" t="s">
        <v>19</v>
      </c>
      <c r="M231" s="9">
        <v>1</v>
      </c>
      <c r="N231" s="11">
        <v>91.76</v>
      </c>
      <c r="O231" s="26" t="s">
        <v>34</v>
      </c>
      <c r="P231" s="14">
        <f t="shared" si="3"/>
        <v>0.68518518518518523</v>
      </c>
      <c r="Q231" s="17">
        <f>Table1[[#This Row],[Price]]-Table1[[#This Row],[Competitor Pricing]]</f>
        <v>3.7199999999999989</v>
      </c>
    </row>
    <row r="232" spans="1:17" x14ac:dyDescent="0.3">
      <c r="A232" s="20">
        <v>44564</v>
      </c>
      <c r="B232" s="6" t="s">
        <v>53</v>
      </c>
      <c r="C232" s="6" t="s">
        <v>42</v>
      </c>
      <c r="D232" s="6" t="s">
        <v>38</v>
      </c>
      <c r="E232" s="6" t="s">
        <v>18</v>
      </c>
      <c r="F232" s="7">
        <v>217</v>
      </c>
      <c r="G232" s="7">
        <v>143</v>
      </c>
      <c r="H232" s="7">
        <v>66</v>
      </c>
      <c r="I232" s="8">
        <v>154.26</v>
      </c>
      <c r="J232" s="8">
        <v>37.81</v>
      </c>
      <c r="K232" s="7">
        <v>20</v>
      </c>
      <c r="L232" s="6" t="s">
        <v>44</v>
      </c>
      <c r="M232" s="6">
        <v>1</v>
      </c>
      <c r="N232" s="8">
        <v>37.14</v>
      </c>
      <c r="O232" s="25" t="s">
        <v>20</v>
      </c>
      <c r="P232" s="14">
        <f t="shared" si="3"/>
        <v>0.65898617511520741</v>
      </c>
      <c r="Q232" s="17">
        <f>Table1[[#This Row],[Price]]-Table1[[#This Row],[Competitor Pricing]]</f>
        <v>0.67000000000000171</v>
      </c>
    </row>
    <row r="233" spans="1:17" x14ac:dyDescent="0.3">
      <c r="A233" s="21">
        <v>44564</v>
      </c>
      <c r="B233" s="9" t="s">
        <v>53</v>
      </c>
      <c r="C233" s="9" t="s">
        <v>43</v>
      </c>
      <c r="D233" s="9" t="s">
        <v>31</v>
      </c>
      <c r="E233" s="9" t="s">
        <v>26</v>
      </c>
      <c r="F233" s="10">
        <v>221</v>
      </c>
      <c r="G233" s="10">
        <v>85</v>
      </c>
      <c r="H233" s="10">
        <v>84</v>
      </c>
      <c r="I233" s="11">
        <v>104.48</v>
      </c>
      <c r="J233" s="11">
        <v>48.7</v>
      </c>
      <c r="K233" s="10">
        <v>10</v>
      </c>
      <c r="L233" s="9" t="s">
        <v>19</v>
      </c>
      <c r="M233" s="9">
        <v>0</v>
      </c>
      <c r="N233" s="11">
        <v>51.33</v>
      </c>
      <c r="O233" s="26" t="s">
        <v>39</v>
      </c>
      <c r="P233" s="14">
        <f t="shared" si="3"/>
        <v>0.38461538461538464</v>
      </c>
      <c r="Q233" s="17">
        <f>Table1[[#This Row],[Price]]-Table1[[#This Row],[Competitor Pricing]]</f>
        <v>-2.6299999999999955</v>
      </c>
    </row>
    <row r="234" spans="1:17" x14ac:dyDescent="0.3">
      <c r="A234" s="20">
        <v>44564</v>
      </c>
      <c r="B234" s="6" t="s">
        <v>53</v>
      </c>
      <c r="C234" s="6" t="s">
        <v>45</v>
      </c>
      <c r="D234" s="6" t="s">
        <v>17</v>
      </c>
      <c r="E234" s="6" t="s">
        <v>26</v>
      </c>
      <c r="F234" s="7">
        <v>303</v>
      </c>
      <c r="G234" s="7">
        <v>270</v>
      </c>
      <c r="H234" s="7">
        <v>164</v>
      </c>
      <c r="I234" s="8">
        <v>268.73</v>
      </c>
      <c r="J234" s="8">
        <v>65.89</v>
      </c>
      <c r="K234" s="7">
        <v>10</v>
      </c>
      <c r="L234" s="6" t="s">
        <v>29</v>
      </c>
      <c r="M234" s="6">
        <v>0</v>
      </c>
      <c r="N234" s="8">
        <v>64.52</v>
      </c>
      <c r="O234" s="25" t="s">
        <v>27</v>
      </c>
      <c r="P234" s="14">
        <f t="shared" si="3"/>
        <v>0.8910891089108911</v>
      </c>
      <c r="Q234" s="17">
        <f>Table1[[#This Row],[Price]]-Table1[[#This Row],[Competitor Pricing]]</f>
        <v>1.3700000000000045</v>
      </c>
    </row>
    <row r="235" spans="1:17" x14ac:dyDescent="0.3">
      <c r="A235" s="21">
        <v>44564</v>
      </c>
      <c r="B235" s="9" t="s">
        <v>53</v>
      </c>
      <c r="C235" s="9" t="s">
        <v>46</v>
      </c>
      <c r="D235" s="9" t="s">
        <v>17</v>
      </c>
      <c r="E235" s="9" t="s">
        <v>26</v>
      </c>
      <c r="F235" s="10">
        <v>298</v>
      </c>
      <c r="G235" s="10">
        <v>233</v>
      </c>
      <c r="H235" s="10">
        <v>143</v>
      </c>
      <c r="I235" s="11">
        <v>245.02</v>
      </c>
      <c r="J235" s="11">
        <v>20.37</v>
      </c>
      <c r="K235" s="10">
        <v>0</v>
      </c>
      <c r="L235" s="9" t="s">
        <v>19</v>
      </c>
      <c r="M235" s="9">
        <v>1</v>
      </c>
      <c r="N235" s="11">
        <v>23.3</v>
      </c>
      <c r="O235" s="26" t="s">
        <v>39</v>
      </c>
      <c r="P235" s="14">
        <f t="shared" si="3"/>
        <v>0.78187919463087252</v>
      </c>
      <c r="Q235" s="17">
        <f>Table1[[#This Row],[Price]]-Table1[[#This Row],[Competitor Pricing]]</f>
        <v>-2.9299999999999997</v>
      </c>
    </row>
    <row r="236" spans="1:17" x14ac:dyDescent="0.3">
      <c r="A236" s="20">
        <v>44564</v>
      </c>
      <c r="B236" s="6" t="s">
        <v>53</v>
      </c>
      <c r="C236" s="6" t="s">
        <v>47</v>
      </c>
      <c r="D236" s="6" t="s">
        <v>36</v>
      </c>
      <c r="E236" s="6" t="s">
        <v>26</v>
      </c>
      <c r="F236" s="7">
        <v>193</v>
      </c>
      <c r="G236" s="7">
        <v>187</v>
      </c>
      <c r="H236" s="7">
        <v>57</v>
      </c>
      <c r="I236" s="8">
        <v>177.8</v>
      </c>
      <c r="J236" s="8">
        <v>46.25</v>
      </c>
      <c r="K236" s="7">
        <v>0</v>
      </c>
      <c r="L236" s="6" t="s">
        <v>44</v>
      </c>
      <c r="M236" s="6">
        <v>0</v>
      </c>
      <c r="N236" s="8">
        <v>49.2</v>
      </c>
      <c r="O236" s="25" t="s">
        <v>39</v>
      </c>
      <c r="P236" s="14">
        <f t="shared" si="3"/>
        <v>0.9689119170984456</v>
      </c>
      <c r="Q236" s="17">
        <f>Table1[[#This Row],[Price]]-Table1[[#This Row],[Competitor Pricing]]</f>
        <v>-2.9500000000000028</v>
      </c>
    </row>
    <row r="237" spans="1:17" x14ac:dyDescent="0.3">
      <c r="A237" s="21">
        <v>44564</v>
      </c>
      <c r="B237" s="9" t="s">
        <v>53</v>
      </c>
      <c r="C237" s="9" t="s">
        <v>48</v>
      </c>
      <c r="D237" s="9" t="s">
        <v>31</v>
      </c>
      <c r="E237" s="9" t="s">
        <v>23</v>
      </c>
      <c r="F237" s="10">
        <v>205</v>
      </c>
      <c r="G237" s="10">
        <v>39</v>
      </c>
      <c r="H237" s="10">
        <v>147</v>
      </c>
      <c r="I237" s="11">
        <v>37.83</v>
      </c>
      <c r="J237" s="11">
        <v>71.739999999999995</v>
      </c>
      <c r="K237" s="10">
        <v>10</v>
      </c>
      <c r="L237" s="9" t="s">
        <v>19</v>
      </c>
      <c r="M237" s="9">
        <v>0</v>
      </c>
      <c r="N237" s="11">
        <v>76.17</v>
      </c>
      <c r="O237" s="26" t="s">
        <v>34</v>
      </c>
      <c r="P237" s="14">
        <f t="shared" si="3"/>
        <v>0.19024390243902439</v>
      </c>
      <c r="Q237" s="17">
        <f>Table1[[#This Row],[Price]]-Table1[[#This Row],[Competitor Pricing]]</f>
        <v>-4.4300000000000068</v>
      </c>
    </row>
    <row r="238" spans="1:17" x14ac:dyDescent="0.3">
      <c r="A238" s="20">
        <v>44564</v>
      </c>
      <c r="B238" s="6" t="s">
        <v>53</v>
      </c>
      <c r="C238" s="6" t="s">
        <v>49</v>
      </c>
      <c r="D238" s="6" t="s">
        <v>22</v>
      </c>
      <c r="E238" s="6" t="s">
        <v>26</v>
      </c>
      <c r="F238" s="7">
        <v>427</v>
      </c>
      <c r="G238" s="7">
        <v>234</v>
      </c>
      <c r="H238" s="7">
        <v>195</v>
      </c>
      <c r="I238" s="8">
        <v>231.16</v>
      </c>
      <c r="J238" s="8">
        <v>20.57</v>
      </c>
      <c r="K238" s="7">
        <v>10</v>
      </c>
      <c r="L238" s="6" t="s">
        <v>19</v>
      </c>
      <c r="M238" s="6">
        <v>1</v>
      </c>
      <c r="N238" s="8">
        <v>22.24</v>
      </c>
      <c r="O238" s="25" t="s">
        <v>20</v>
      </c>
      <c r="P238" s="14">
        <f t="shared" si="3"/>
        <v>0.54800936768149888</v>
      </c>
      <c r="Q238" s="17">
        <f>Table1[[#This Row],[Price]]-Table1[[#This Row],[Competitor Pricing]]</f>
        <v>-1.6699999999999982</v>
      </c>
    </row>
    <row r="239" spans="1:17" x14ac:dyDescent="0.3">
      <c r="A239" s="21">
        <v>44564</v>
      </c>
      <c r="B239" s="9" t="s">
        <v>53</v>
      </c>
      <c r="C239" s="9" t="s">
        <v>50</v>
      </c>
      <c r="D239" s="9" t="s">
        <v>38</v>
      </c>
      <c r="E239" s="9" t="s">
        <v>23</v>
      </c>
      <c r="F239" s="10">
        <v>365</v>
      </c>
      <c r="G239" s="10">
        <v>213</v>
      </c>
      <c r="H239" s="10">
        <v>106</v>
      </c>
      <c r="I239" s="11">
        <v>208.31</v>
      </c>
      <c r="J239" s="11">
        <v>29.88</v>
      </c>
      <c r="K239" s="10">
        <v>20</v>
      </c>
      <c r="L239" s="9" t="s">
        <v>19</v>
      </c>
      <c r="M239" s="9">
        <v>1</v>
      </c>
      <c r="N239" s="11">
        <v>25.73</v>
      </c>
      <c r="O239" s="26" t="s">
        <v>20</v>
      </c>
      <c r="P239" s="14">
        <f t="shared" si="3"/>
        <v>0.58356164383561648</v>
      </c>
      <c r="Q239" s="17">
        <f>Table1[[#This Row],[Price]]-Table1[[#This Row],[Competitor Pricing]]</f>
        <v>4.1499999999999986</v>
      </c>
    </row>
    <row r="240" spans="1:17" x14ac:dyDescent="0.3">
      <c r="A240" s="20">
        <v>44564</v>
      </c>
      <c r="B240" s="6" t="s">
        <v>53</v>
      </c>
      <c r="C240" s="6" t="s">
        <v>51</v>
      </c>
      <c r="D240" s="6" t="s">
        <v>38</v>
      </c>
      <c r="E240" s="6" t="s">
        <v>18</v>
      </c>
      <c r="F240" s="7">
        <v>111</v>
      </c>
      <c r="G240" s="7">
        <v>55</v>
      </c>
      <c r="H240" s="7">
        <v>163</v>
      </c>
      <c r="I240" s="8">
        <v>71.88</v>
      </c>
      <c r="J240" s="8">
        <v>73.98</v>
      </c>
      <c r="K240" s="7">
        <v>15</v>
      </c>
      <c r="L240" s="6" t="s">
        <v>19</v>
      </c>
      <c r="M240" s="6">
        <v>1</v>
      </c>
      <c r="N240" s="8">
        <v>73.5</v>
      </c>
      <c r="O240" s="25" t="s">
        <v>34</v>
      </c>
      <c r="P240" s="14">
        <f t="shared" si="3"/>
        <v>0.49549549549549549</v>
      </c>
      <c r="Q240" s="17">
        <f>Table1[[#This Row],[Price]]-Table1[[#This Row],[Competitor Pricing]]</f>
        <v>0.48000000000000398</v>
      </c>
    </row>
    <row r="241" spans="1:17" x14ac:dyDescent="0.3">
      <c r="A241" s="21">
        <v>44564</v>
      </c>
      <c r="B241" s="9" t="s">
        <v>53</v>
      </c>
      <c r="C241" s="9" t="s">
        <v>52</v>
      </c>
      <c r="D241" s="9" t="s">
        <v>17</v>
      </c>
      <c r="E241" s="9" t="s">
        <v>23</v>
      </c>
      <c r="F241" s="10">
        <v>271</v>
      </c>
      <c r="G241" s="10">
        <v>22</v>
      </c>
      <c r="H241" s="10">
        <v>178</v>
      </c>
      <c r="I241" s="11">
        <v>15.3</v>
      </c>
      <c r="J241" s="11">
        <v>45.02</v>
      </c>
      <c r="K241" s="10">
        <v>10</v>
      </c>
      <c r="L241" s="9" t="s">
        <v>24</v>
      </c>
      <c r="M241" s="9">
        <v>0</v>
      </c>
      <c r="N241" s="11">
        <v>47.01</v>
      </c>
      <c r="O241" s="26" t="s">
        <v>39</v>
      </c>
      <c r="P241" s="14">
        <f t="shared" si="3"/>
        <v>8.1180811808118078E-2</v>
      </c>
      <c r="Q241" s="17">
        <f>Table1[[#This Row],[Price]]-Table1[[#This Row],[Competitor Pricing]]</f>
        <v>-1.9899999999999949</v>
      </c>
    </row>
    <row r="242" spans="1:17" x14ac:dyDescent="0.3">
      <c r="A242" s="20">
        <v>44564</v>
      </c>
      <c r="B242" s="6" t="s">
        <v>54</v>
      </c>
      <c r="C242" s="6" t="s">
        <v>16</v>
      </c>
      <c r="D242" s="6" t="s">
        <v>38</v>
      </c>
      <c r="E242" s="6" t="s">
        <v>18</v>
      </c>
      <c r="F242" s="7">
        <v>134</v>
      </c>
      <c r="G242" s="7">
        <v>100</v>
      </c>
      <c r="H242" s="7">
        <v>185</v>
      </c>
      <c r="I242" s="8">
        <v>100.66</v>
      </c>
      <c r="J242" s="8">
        <v>82.88</v>
      </c>
      <c r="K242" s="7">
        <v>10</v>
      </c>
      <c r="L242" s="6" t="s">
        <v>24</v>
      </c>
      <c r="M242" s="6">
        <v>1</v>
      </c>
      <c r="N242" s="8">
        <v>86.74</v>
      </c>
      <c r="O242" s="25" t="s">
        <v>20</v>
      </c>
      <c r="P242" s="14">
        <f t="shared" si="3"/>
        <v>0.74626865671641796</v>
      </c>
      <c r="Q242" s="17">
        <f>Table1[[#This Row],[Price]]-Table1[[#This Row],[Competitor Pricing]]</f>
        <v>-3.8599999999999994</v>
      </c>
    </row>
    <row r="243" spans="1:17" x14ac:dyDescent="0.3">
      <c r="A243" s="21">
        <v>44564</v>
      </c>
      <c r="B243" s="9" t="s">
        <v>54</v>
      </c>
      <c r="C243" s="9" t="s">
        <v>21</v>
      </c>
      <c r="D243" s="9" t="s">
        <v>17</v>
      </c>
      <c r="E243" s="9" t="s">
        <v>18</v>
      </c>
      <c r="F243" s="10">
        <v>405</v>
      </c>
      <c r="G243" s="10">
        <v>353</v>
      </c>
      <c r="H243" s="10">
        <v>74</v>
      </c>
      <c r="I243" s="11">
        <v>355.08</v>
      </c>
      <c r="J243" s="11">
        <v>17.36</v>
      </c>
      <c r="K243" s="10">
        <v>0</v>
      </c>
      <c r="L243" s="9" t="s">
        <v>29</v>
      </c>
      <c r="M243" s="9">
        <v>1</v>
      </c>
      <c r="N243" s="11">
        <v>17.32</v>
      </c>
      <c r="O243" s="26" t="s">
        <v>39</v>
      </c>
      <c r="P243" s="14">
        <f t="shared" si="3"/>
        <v>0.8716049382716049</v>
      </c>
      <c r="Q243" s="17">
        <f>Table1[[#This Row],[Price]]-Table1[[#This Row],[Competitor Pricing]]</f>
        <v>3.9999999999999147E-2</v>
      </c>
    </row>
    <row r="244" spans="1:17" x14ac:dyDescent="0.3">
      <c r="A244" s="20">
        <v>44564</v>
      </c>
      <c r="B244" s="6" t="s">
        <v>54</v>
      </c>
      <c r="C244" s="6" t="s">
        <v>25</v>
      </c>
      <c r="D244" s="6" t="s">
        <v>31</v>
      </c>
      <c r="E244" s="6" t="s">
        <v>26</v>
      </c>
      <c r="F244" s="7">
        <v>290</v>
      </c>
      <c r="G244" s="7">
        <v>255</v>
      </c>
      <c r="H244" s="7">
        <v>118</v>
      </c>
      <c r="I244" s="8">
        <v>246.78</v>
      </c>
      <c r="J244" s="8">
        <v>42.7</v>
      </c>
      <c r="K244" s="7">
        <v>20</v>
      </c>
      <c r="L244" s="6" t="s">
        <v>44</v>
      </c>
      <c r="M244" s="6">
        <v>0</v>
      </c>
      <c r="N244" s="8">
        <v>40.380000000000003</v>
      </c>
      <c r="O244" s="25" t="s">
        <v>20</v>
      </c>
      <c r="P244" s="14">
        <f t="shared" si="3"/>
        <v>0.87931034482758619</v>
      </c>
      <c r="Q244" s="17">
        <f>Table1[[#This Row],[Price]]-Table1[[#This Row],[Competitor Pricing]]</f>
        <v>2.3200000000000003</v>
      </c>
    </row>
    <row r="245" spans="1:17" x14ac:dyDescent="0.3">
      <c r="A245" s="21">
        <v>44564</v>
      </c>
      <c r="B245" s="9" t="s">
        <v>54</v>
      </c>
      <c r="C245" s="9" t="s">
        <v>28</v>
      </c>
      <c r="D245" s="9" t="s">
        <v>38</v>
      </c>
      <c r="E245" s="9" t="s">
        <v>23</v>
      </c>
      <c r="F245" s="10">
        <v>403</v>
      </c>
      <c r="G245" s="10">
        <v>154</v>
      </c>
      <c r="H245" s="10">
        <v>189</v>
      </c>
      <c r="I245" s="11">
        <v>166.81</v>
      </c>
      <c r="J245" s="11">
        <v>89.67</v>
      </c>
      <c r="K245" s="10">
        <v>15</v>
      </c>
      <c r="L245" s="9" t="s">
        <v>24</v>
      </c>
      <c r="M245" s="9">
        <v>0</v>
      </c>
      <c r="N245" s="11">
        <v>88.99</v>
      </c>
      <c r="O245" s="26" t="s">
        <v>20</v>
      </c>
      <c r="P245" s="14">
        <f t="shared" si="3"/>
        <v>0.38213399503722084</v>
      </c>
      <c r="Q245" s="17">
        <f>Table1[[#This Row],[Price]]-Table1[[#This Row],[Competitor Pricing]]</f>
        <v>0.68000000000000682</v>
      </c>
    </row>
    <row r="246" spans="1:17" x14ac:dyDescent="0.3">
      <c r="A246" s="20">
        <v>44564</v>
      </c>
      <c r="B246" s="6" t="s">
        <v>54</v>
      </c>
      <c r="C246" s="6" t="s">
        <v>30</v>
      </c>
      <c r="D246" s="6" t="s">
        <v>38</v>
      </c>
      <c r="E246" s="6" t="s">
        <v>32</v>
      </c>
      <c r="F246" s="7">
        <v>311</v>
      </c>
      <c r="G246" s="7">
        <v>147</v>
      </c>
      <c r="H246" s="7">
        <v>29</v>
      </c>
      <c r="I246" s="8">
        <v>154.97</v>
      </c>
      <c r="J246" s="8">
        <v>65.77</v>
      </c>
      <c r="K246" s="7">
        <v>0</v>
      </c>
      <c r="L246" s="6" t="s">
        <v>29</v>
      </c>
      <c r="M246" s="6">
        <v>1</v>
      </c>
      <c r="N246" s="8">
        <v>61.06</v>
      </c>
      <c r="O246" s="25" t="s">
        <v>39</v>
      </c>
      <c r="P246" s="14">
        <f t="shared" si="3"/>
        <v>0.47266881028938906</v>
      </c>
      <c r="Q246" s="17">
        <f>Table1[[#This Row],[Price]]-Table1[[#This Row],[Competitor Pricing]]</f>
        <v>4.7099999999999937</v>
      </c>
    </row>
    <row r="247" spans="1:17" x14ac:dyDescent="0.3">
      <c r="A247" s="21">
        <v>44564</v>
      </c>
      <c r="B247" s="9" t="s">
        <v>54</v>
      </c>
      <c r="C247" s="9" t="s">
        <v>33</v>
      </c>
      <c r="D247" s="9" t="s">
        <v>31</v>
      </c>
      <c r="E247" s="9" t="s">
        <v>18</v>
      </c>
      <c r="F247" s="10">
        <v>448</v>
      </c>
      <c r="G247" s="10">
        <v>342</v>
      </c>
      <c r="H247" s="10">
        <v>112</v>
      </c>
      <c r="I247" s="11">
        <v>357.52</v>
      </c>
      <c r="J247" s="11">
        <v>95.74</v>
      </c>
      <c r="K247" s="10">
        <v>10</v>
      </c>
      <c r="L247" s="9" t="s">
        <v>29</v>
      </c>
      <c r="M247" s="9">
        <v>0</v>
      </c>
      <c r="N247" s="11">
        <v>94.29</v>
      </c>
      <c r="O247" s="26" t="s">
        <v>27</v>
      </c>
      <c r="P247" s="14">
        <f t="shared" si="3"/>
        <v>0.7633928571428571</v>
      </c>
      <c r="Q247" s="17">
        <f>Table1[[#This Row],[Price]]-Table1[[#This Row],[Competitor Pricing]]</f>
        <v>1.4499999999999886</v>
      </c>
    </row>
    <row r="248" spans="1:17" x14ac:dyDescent="0.3">
      <c r="A248" s="20">
        <v>44564</v>
      </c>
      <c r="B248" s="6" t="s">
        <v>54</v>
      </c>
      <c r="C248" s="6" t="s">
        <v>35</v>
      </c>
      <c r="D248" s="6" t="s">
        <v>36</v>
      </c>
      <c r="E248" s="6" t="s">
        <v>26</v>
      </c>
      <c r="F248" s="7">
        <v>277</v>
      </c>
      <c r="G248" s="7">
        <v>54</v>
      </c>
      <c r="H248" s="7">
        <v>126</v>
      </c>
      <c r="I248" s="8">
        <v>48.62</v>
      </c>
      <c r="J248" s="8">
        <v>98.9</v>
      </c>
      <c r="K248" s="7">
        <v>0</v>
      </c>
      <c r="L248" s="6" t="s">
        <v>29</v>
      </c>
      <c r="M248" s="6">
        <v>0</v>
      </c>
      <c r="N248" s="8">
        <v>97.62</v>
      </c>
      <c r="O248" s="25" t="s">
        <v>27</v>
      </c>
      <c r="P248" s="14">
        <f t="shared" si="3"/>
        <v>0.19494584837545126</v>
      </c>
      <c r="Q248" s="17">
        <f>Table1[[#This Row],[Price]]-Table1[[#This Row],[Competitor Pricing]]</f>
        <v>1.2800000000000011</v>
      </c>
    </row>
    <row r="249" spans="1:17" x14ac:dyDescent="0.3">
      <c r="A249" s="21">
        <v>44564</v>
      </c>
      <c r="B249" s="9" t="s">
        <v>54</v>
      </c>
      <c r="C249" s="9" t="s">
        <v>37</v>
      </c>
      <c r="D249" s="9" t="s">
        <v>22</v>
      </c>
      <c r="E249" s="9" t="s">
        <v>32</v>
      </c>
      <c r="F249" s="10">
        <v>421</v>
      </c>
      <c r="G249" s="10">
        <v>289</v>
      </c>
      <c r="H249" s="10">
        <v>112</v>
      </c>
      <c r="I249" s="11">
        <v>292.20999999999998</v>
      </c>
      <c r="J249" s="11">
        <v>41.11</v>
      </c>
      <c r="K249" s="10">
        <v>15</v>
      </c>
      <c r="L249" s="9" t="s">
        <v>29</v>
      </c>
      <c r="M249" s="9">
        <v>0</v>
      </c>
      <c r="N249" s="11">
        <v>36.9</v>
      </c>
      <c r="O249" s="26" t="s">
        <v>27</v>
      </c>
      <c r="P249" s="14">
        <f t="shared" si="3"/>
        <v>0.68646080760095007</v>
      </c>
      <c r="Q249" s="17">
        <f>Table1[[#This Row],[Price]]-Table1[[#This Row],[Competitor Pricing]]</f>
        <v>4.2100000000000009</v>
      </c>
    </row>
    <row r="250" spans="1:17" x14ac:dyDescent="0.3">
      <c r="A250" s="20">
        <v>44564</v>
      </c>
      <c r="B250" s="6" t="s">
        <v>54</v>
      </c>
      <c r="C250" s="6" t="s">
        <v>40</v>
      </c>
      <c r="D250" s="6" t="s">
        <v>22</v>
      </c>
      <c r="E250" s="6" t="s">
        <v>23</v>
      </c>
      <c r="F250" s="7">
        <v>241</v>
      </c>
      <c r="G250" s="7">
        <v>179</v>
      </c>
      <c r="H250" s="7">
        <v>135</v>
      </c>
      <c r="I250" s="8">
        <v>198.59</v>
      </c>
      <c r="J250" s="8">
        <v>42.07</v>
      </c>
      <c r="K250" s="7">
        <v>0</v>
      </c>
      <c r="L250" s="6" t="s">
        <v>44</v>
      </c>
      <c r="M250" s="6">
        <v>1</v>
      </c>
      <c r="N250" s="8">
        <v>37.659999999999997</v>
      </c>
      <c r="O250" s="25" t="s">
        <v>34</v>
      </c>
      <c r="P250" s="14">
        <f t="shared" si="3"/>
        <v>0.74273858921161828</v>
      </c>
      <c r="Q250" s="17">
        <f>Table1[[#This Row],[Price]]-Table1[[#This Row],[Competitor Pricing]]</f>
        <v>4.4100000000000037</v>
      </c>
    </row>
    <row r="251" spans="1:17" x14ac:dyDescent="0.3">
      <c r="A251" s="21">
        <v>44564</v>
      </c>
      <c r="B251" s="9" t="s">
        <v>54</v>
      </c>
      <c r="C251" s="9" t="s">
        <v>41</v>
      </c>
      <c r="D251" s="9" t="s">
        <v>36</v>
      </c>
      <c r="E251" s="9" t="s">
        <v>23</v>
      </c>
      <c r="F251" s="10">
        <v>186</v>
      </c>
      <c r="G251" s="10">
        <v>175</v>
      </c>
      <c r="H251" s="10">
        <v>75</v>
      </c>
      <c r="I251" s="11">
        <v>177.8</v>
      </c>
      <c r="J251" s="11">
        <v>95.89</v>
      </c>
      <c r="K251" s="10">
        <v>0</v>
      </c>
      <c r="L251" s="9" t="s">
        <v>19</v>
      </c>
      <c r="M251" s="9">
        <v>1</v>
      </c>
      <c r="N251" s="11">
        <v>96.19</v>
      </c>
      <c r="O251" s="26" t="s">
        <v>20</v>
      </c>
      <c r="P251" s="14">
        <f t="shared" si="3"/>
        <v>0.94086021505376349</v>
      </c>
      <c r="Q251" s="17">
        <f>Table1[[#This Row],[Price]]-Table1[[#This Row],[Competitor Pricing]]</f>
        <v>-0.29999999999999716</v>
      </c>
    </row>
    <row r="252" spans="1:17" x14ac:dyDescent="0.3">
      <c r="A252" s="20">
        <v>44564</v>
      </c>
      <c r="B252" s="6" t="s">
        <v>54</v>
      </c>
      <c r="C252" s="6" t="s">
        <v>42</v>
      </c>
      <c r="D252" s="6" t="s">
        <v>38</v>
      </c>
      <c r="E252" s="6" t="s">
        <v>26</v>
      </c>
      <c r="F252" s="7">
        <v>413</v>
      </c>
      <c r="G252" s="7">
        <v>209</v>
      </c>
      <c r="H252" s="7">
        <v>86</v>
      </c>
      <c r="I252" s="8">
        <v>220.54</v>
      </c>
      <c r="J252" s="8">
        <v>84.12</v>
      </c>
      <c r="K252" s="7">
        <v>5</v>
      </c>
      <c r="L252" s="6" t="s">
        <v>24</v>
      </c>
      <c r="M252" s="6">
        <v>0</v>
      </c>
      <c r="N252" s="8">
        <v>89.06</v>
      </c>
      <c r="O252" s="25" t="s">
        <v>39</v>
      </c>
      <c r="P252" s="14">
        <f t="shared" si="3"/>
        <v>0.50605326876513312</v>
      </c>
      <c r="Q252" s="17">
        <f>Table1[[#This Row],[Price]]-Table1[[#This Row],[Competitor Pricing]]</f>
        <v>-4.9399999999999977</v>
      </c>
    </row>
    <row r="253" spans="1:17" x14ac:dyDescent="0.3">
      <c r="A253" s="21">
        <v>44564</v>
      </c>
      <c r="B253" s="9" t="s">
        <v>54</v>
      </c>
      <c r="C253" s="9" t="s">
        <v>43</v>
      </c>
      <c r="D253" s="9" t="s">
        <v>22</v>
      </c>
      <c r="E253" s="9" t="s">
        <v>32</v>
      </c>
      <c r="F253" s="10">
        <v>112</v>
      </c>
      <c r="G253" s="10">
        <v>109</v>
      </c>
      <c r="H253" s="10">
        <v>46</v>
      </c>
      <c r="I253" s="11">
        <v>113.33</v>
      </c>
      <c r="J253" s="11">
        <v>71.209999999999994</v>
      </c>
      <c r="K253" s="10">
        <v>20</v>
      </c>
      <c r="L253" s="9" t="s">
        <v>19</v>
      </c>
      <c r="M253" s="9">
        <v>1</v>
      </c>
      <c r="N253" s="11">
        <v>74.709999999999994</v>
      </c>
      <c r="O253" s="26" t="s">
        <v>27</v>
      </c>
      <c r="P253" s="14">
        <f t="shared" si="3"/>
        <v>0.9732142857142857</v>
      </c>
      <c r="Q253" s="17">
        <f>Table1[[#This Row],[Price]]-Table1[[#This Row],[Competitor Pricing]]</f>
        <v>-3.5</v>
      </c>
    </row>
    <row r="254" spans="1:17" x14ac:dyDescent="0.3">
      <c r="A254" s="20">
        <v>44564</v>
      </c>
      <c r="B254" s="6" t="s">
        <v>54</v>
      </c>
      <c r="C254" s="6" t="s">
        <v>45</v>
      </c>
      <c r="D254" s="6" t="s">
        <v>17</v>
      </c>
      <c r="E254" s="6" t="s">
        <v>23</v>
      </c>
      <c r="F254" s="7">
        <v>268</v>
      </c>
      <c r="G254" s="7">
        <v>43</v>
      </c>
      <c r="H254" s="7">
        <v>78</v>
      </c>
      <c r="I254" s="8">
        <v>49.77</v>
      </c>
      <c r="J254" s="8">
        <v>49.23</v>
      </c>
      <c r="K254" s="7">
        <v>0</v>
      </c>
      <c r="L254" s="6" t="s">
        <v>19</v>
      </c>
      <c r="M254" s="6">
        <v>1</v>
      </c>
      <c r="N254" s="8">
        <v>47.75</v>
      </c>
      <c r="O254" s="25" t="s">
        <v>39</v>
      </c>
      <c r="P254" s="14">
        <f t="shared" si="3"/>
        <v>0.16044776119402984</v>
      </c>
      <c r="Q254" s="17">
        <f>Table1[[#This Row],[Price]]-Table1[[#This Row],[Competitor Pricing]]</f>
        <v>1.4799999999999969</v>
      </c>
    </row>
    <row r="255" spans="1:17" x14ac:dyDescent="0.3">
      <c r="A255" s="21">
        <v>44564</v>
      </c>
      <c r="B255" s="9" t="s">
        <v>54</v>
      </c>
      <c r="C255" s="9" t="s">
        <v>46</v>
      </c>
      <c r="D255" s="9" t="s">
        <v>22</v>
      </c>
      <c r="E255" s="9" t="s">
        <v>23</v>
      </c>
      <c r="F255" s="10">
        <v>347</v>
      </c>
      <c r="G255" s="10">
        <v>58</v>
      </c>
      <c r="H255" s="10">
        <v>38</v>
      </c>
      <c r="I255" s="11">
        <v>49.31</v>
      </c>
      <c r="J255" s="11">
        <v>21.87</v>
      </c>
      <c r="K255" s="10">
        <v>10</v>
      </c>
      <c r="L255" s="9" t="s">
        <v>19</v>
      </c>
      <c r="M255" s="9">
        <v>1</v>
      </c>
      <c r="N255" s="11">
        <v>25</v>
      </c>
      <c r="O255" s="26" t="s">
        <v>20</v>
      </c>
      <c r="P255" s="14">
        <f t="shared" si="3"/>
        <v>0.16714697406340057</v>
      </c>
      <c r="Q255" s="17">
        <f>Table1[[#This Row],[Price]]-Table1[[#This Row],[Competitor Pricing]]</f>
        <v>-3.129999999999999</v>
      </c>
    </row>
    <row r="256" spans="1:17" x14ac:dyDescent="0.3">
      <c r="A256" s="20">
        <v>44564</v>
      </c>
      <c r="B256" s="6" t="s">
        <v>54</v>
      </c>
      <c r="C256" s="6" t="s">
        <v>47</v>
      </c>
      <c r="D256" s="6" t="s">
        <v>31</v>
      </c>
      <c r="E256" s="6" t="s">
        <v>23</v>
      </c>
      <c r="F256" s="7">
        <v>495</v>
      </c>
      <c r="G256" s="7">
        <v>399</v>
      </c>
      <c r="H256" s="7">
        <v>86</v>
      </c>
      <c r="I256" s="8">
        <v>390.1</v>
      </c>
      <c r="J256" s="8">
        <v>60.83</v>
      </c>
      <c r="K256" s="7">
        <v>0</v>
      </c>
      <c r="L256" s="6" t="s">
        <v>29</v>
      </c>
      <c r="M256" s="6">
        <v>1</v>
      </c>
      <c r="N256" s="8">
        <v>60.34</v>
      </c>
      <c r="O256" s="25" t="s">
        <v>39</v>
      </c>
      <c r="P256" s="14">
        <f t="shared" si="3"/>
        <v>0.80606060606060603</v>
      </c>
      <c r="Q256" s="17">
        <f>Table1[[#This Row],[Price]]-Table1[[#This Row],[Competitor Pricing]]</f>
        <v>0.48999999999999488</v>
      </c>
    </row>
    <row r="257" spans="1:17" x14ac:dyDescent="0.3">
      <c r="A257" s="21">
        <v>44564</v>
      </c>
      <c r="B257" s="9" t="s">
        <v>54</v>
      </c>
      <c r="C257" s="9" t="s">
        <v>48</v>
      </c>
      <c r="D257" s="9" t="s">
        <v>38</v>
      </c>
      <c r="E257" s="9" t="s">
        <v>26</v>
      </c>
      <c r="F257" s="10">
        <v>324</v>
      </c>
      <c r="G257" s="10">
        <v>95</v>
      </c>
      <c r="H257" s="10">
        <v>145</v>
      </c>
      <c r="I257" s="11">
        <v>111.3</v>
      </c>
      <c r="J257" s="11">
        <v>56.78</v>
      </c>
      <c r="K257" s="10">
        <v>20</v>
      </c>
      <c r="L257" s="9" t="s">
        <v>19</v>
      </c>
      <c r="M257" s="9">
        <v>0</v>
      </c>
      <c r="N257" s="11">
        <v>60.75</v>
      </c>
      <c r="O257" s="26" t="s">
        <v>34</v>
      </c>
      <c r="P257" s="14">
        <f t="shared" si="3"/>
        <v>0.2932098765432099</v>
      </c>
      <c r="Q257" s="17">
        <f>Table1[[#This Row],[Price]]-Table1[[#This Row],[Competitor Pricing]]</f>
        <v>-3.9699999999999989</v>
      </c>
    </row>
    <row r="258" spans="1:17" x14ac:dyDescent="0.3">
      <c r="A258" s="20">
        <v>44564</v>
      </c>
      <c r="B258" s="6" t="s">
        <v>54</v>
      </c>
      <c r="C258" s="6" t="s">
        <v>49</v>
      </c>
      <c r="D258" s="6" t="s">
        <v>38</v>
      </c>
      <c r="E258" s="6" t="s">
        <v>26</v>
      </c>
      <c r="F258" s="7">
        <v>330</v>
      </c>
      <c r="G258" s="7">
        <v>296</v>
      </c>
      <c r="H258" s="7">
        <v>138</v>
      </c>
      <c r="I258" s="8">
        <v>297.58</v>
      </c>
      <c r="J258" s="8">
        <v>76.12</v>
      </c>
      <c r="K258" s="7">
        <v>5</v>
      </c>
      <c r="L258" s="6" t="s">
        <v>44</v>
      </c>
      <c r="M258" s="6">
        <v>0</v>
      </c>
      <c r="N258" s="8">
        <v>77.55</v>
      </c>
      <c r="O258" s="25" t="s">
        <v>39</v>
      </c>
      <c r="P258" s="14">
        <f t="shared" si="3"/>
        <v>0.89696969696969697</v>
      </c>
      <c r="Q258" s="17">
        <f>Table1[[#This Row],[Price]]-Table1[[#This Row],[Competitor Pricing]]</f>
        <v>-1.4299999999999926</v>
      </c>
    </row>
    <row r="259" spans="1:17" x14ac:dyDescent="0.3">
      <c r="A259" s="21">
        <v>44564</v>
      </c>
      <c r="B259" s="9" t="s">
        <v>54</v>
      </c>
      <c r="C259" s="9" t="s">
        <v>50</v>
      </c>
      <c r="D259" s="9" t="s">
        <v>31</v>
      </c>
      <c r="E259" s="9" t="s">
        <v>32</v>
      </c>
      <c r="F259" s="10">
        <v>297</v>
      </c>
      <c r="G259" s="10">
        <v>105</v>
      </c>
      <c r="H259" s="10">
        <v>66</v>
      </c>
      <c r="I259" s="11">
        <v>104.66</v>
      </c>
      <c r="J259" s="11">
        <v>98.9</v>
      </c>
      <c r="K259" s="10">
        <v>10</v>
      </c>
      <c r="L259" s="9" t="s">
        <v>24</v>
      </c>
      <c r="M259" s="9">
        <v>0</v>
      </c>
      <c r="N259" s="11">
        <v>96.55</v>
      </c>
      <c r="O259" s="26" t="s">
        <v>34</v>
      </c>
      <c r="P259" s="14">
        <f t="shared" ref="P259:P322" si="4">G259/F259</f>
        <v>0.35353535353535354</v>
      </c>
      <c r="Q259" s="17">
        <f>Table1[[#This Row],[Price]]-Table1[[#This Row],[Competitor Pricing]]</f>
        <v>2.3500000000000085</v>
      </c>
    </row>
    <row r="260" spans="1:17" x14ac:dyDescent="0.3">
      <c r="A260" s="20">
        <v>44564</v>
      </c>
      <c r="B260" s="6" t="s">
        <v>54</v>
      </c>
      <c r="C260" s="6" t="s">
        <v>51</v>
      </c>
      <c r="D260" s="6" t="s">
        <v>38</v>
      </c>
      <c r="E260" s="6" t="s">
        <v>32</v>
      </c>
      <c r="F260" s="7">
        <v>169</v>
      </c>
      <c r="G260" s="7">
        <v>103</v>
      </c>
      <c r="H260" s="7">
        <v>47</v>
      </c>
      <c r="I260" s="8">
        <v>107.67</v>
      </c>
      <c r="J260" s="8">
        <v>46.24</v>
      </c>
      <c r="K260" s="7">
        <v>5</v>
      </c>
      <c r="L260" s="6" t="s">
        <v>29</v>
      </c>
      <c r="M260" s="6">
        <v>0</v>
      </c>
      <c r="N260" s="8">
        <v>47.84</v>
      </c>
      <c r="O260" s="25" t="s">
        <v>20</v>
      </c>
      <c r="P260" s="14">
        <f t="shared" si="4"/>
        <v>0.60946745562130178</v>
      </c>
      <c r="Q260" s="17">
        <f>Table1[[#This Row],[Price]]-Table1[[#This Row],[Competitor Pricing]]</f>
        <v>-1.6000000000000014</v>
      </c>
    </row>
    <row r="261" spans="1:17" x14ac:dyDescent="0.3">
      <c r="A261" s="21">
        <v>44564</v>
      </c>
      <c r="B261" s="9" t="s">
        <v>54</v>
      </c>
      <c r="C261" s="9" t="s">
        <v>52</v>
      </c>
      <c r="D261" s="9" t="s">
        <v>22</v>
      </c>
      <c r="E261" s="9" t="s">
        <v>23</v>
      </c>
      <c r="F261" s="10">
        <v>257</v>
      </c>
      <c r="G261" s="10">
        <v>131</v>
      </c>
      <c r="H261" s="10">
        <v>103</v>
      </c>
      <c r="I261" s="11">
        <v>123.65</v>
      </c>
      <c r="J261" s="11">
        <v>16.350000000000001</v>
      </c>
      <c r="K261" s="10">
        <v>15</v>
      </c>
      <c r="L261" s="9" t="s">
        <v>29</v>
      </c>
      <c r="M261" s="9">
        <v>0</v>
      </c>
      <c r="N261" s="11">
        <v>19.59</v>
      </c>
      <c r="O261" s="26" t="s">
        <v>20</v>
      </c>
      <c r="P261" s="14">
        <f t="shared" si="4"/>
        <v>0.50972762645914393</v>
      </c>
      <c r="Q261" s="17">
        <f>Table1[[#This Row],[Price]]-Table1[[#This Row],[Competitor Pricing]]</f>
        <v>-3.2399999999999984</v>
      </c>
    </row>
    <row r="262" spans="1:17" x14ac:dyDescent="0.3">
      <c r="A262" s="20">
        <v>44564</v>
      </c>
      <c r="B262" s="6" t="s">
        <v>55</v>
      </c>
      <c r="C262" s="6" t="s">
        <v>16</v>
      </c>
      <c r="D262" s="6" t="s">
        <v>17</v>
      </c>
      <c r="E262" s="6" t="s">
        <v>32</v>
      </c>
      <c r="F262" s="7">
        <v>175</v>
      </c>
      <c r="G262" s="7">
        <v>66</v>
      </c>
      <c r="H262" s="7">
        <v>140</v>
      </c>
      <c r="I262" s="8">
        <v>56.84</v>
      </c>
      <c r="J262" s="8">
        <v>83.63</v>
      </c>
      <c r="K262" s="7">
        <v>15</v>
      </c>
      <c r="L262" s="6" t="s">
        <v>24</v>
      </c>
      <c r="M262" s="6">
        <v>0</v>
      </c>
      <c r="N262" s="8">
        <v>79.900000000000006</v>
      </c>
      <c r="O262" s="25" t="s">
        <v>27</v>
      </c>
      <c r="P262" s="14">
        <f t="shared" si="4"/>
        <v>0.37714285714285717</v>
      </c>
      <c r="Q262" s="17">
        <f>Table1[[#This Row],[Price]]-Table1[[#This Row],[Competitor Pricing]]</f>
        <v>3.7299999999999898</v>
      </c>
    </row>
    <row r="263" spans="1:17" x14ac:dyDescent="0.3">
      <c r="A263" s="21">
        <v>44564</v>
      </c>
      <c r="B263" s="9" t="s">
        <v>55</v>
      </c>
      <c r="C263" s="9" t="s">
        <v>21</v>
      </c>
      <c r="D263" s="9" t="s">
        <v>17</v>
      </c>
      <c r="E263" s="9" t="s">
        <v>26</v>
      </c>
      <c r="F263" s="10">
        <v>228</v>
      </c>
      <c r="G263" s="10">
        <v>163</v>
      </c>
      <c r="H263" s="10">
        <v>161</v>
      </c>
      <c r="I263" s="11">
        <v>161.47999999999999</v>
      </c>
      <c r="J263" s="11">
        <v>81.569999999999993</v>
      </c>
      <c r="K263" s="10">
        <v>0</v>
      </c>
      <c r="L263" s="9" t="s">
        <v>29</v>
      </c>
      <c r="M263" s="9">
        <v>1</v>
      </c>
      <c r="N263" s="11">
        <v>77.66</v>
      </c>
      <c r="O263" s="26" t="s">
        <v>34</v>
      </c>
      <c r="P263" s="14">
        <f t="shared" si="4"/>
        <v>0.71491228070175439</v>
      </c>
      <c r="Q263" s="17">
        <f>Table1[[#This Row],[Price]]-Table1[[#This Row],[Competitor Pricing]]</f>
        <v>3.9099999999999966</v>
      </c>
    </row>
    <row r="264" spans="1:17" x14ac:dyDescent="0.3">
      <c r="A264" s="20">
        <v>44564</v>
      </c>
      <c r="B264" s="6" t="s">
        <v>55</v>
      </c>
      <c r="C264" s="6" t="s">
        <v>25</v>
      </c>
      <c r="D264" s="6" t="s">
        <v>38</v>
      </c>
      <c r="E264" s="6" t="s">
        <v>23</v>
      </c>
      <c r="F264" s="7">
        <v>188</v>
      </c>
      <c r="G264" s="7">
        <v>98</v>
      </c>
      <c r="H264" s="7">
        <v>176</v>
      </c>
      <c r="I264" s="8">
        <v>98.87</v>
      </c>
      <c r="J264" s="8">
        <v>44.68</v>
      </c>
      <c r="K264" s="7">
        <v>10</v>
      </c>
      <c r="L264" s="6" t="s">
        <v>44</v>
      </c>
      <c r="M264" s="6">
        <v>0</v>
      </c>
      <c r="N264" s="8">
        <v>42.55</v>
      </c>
      <c r="O264" s="25" t="s">
        <v>39</v>
      </c>
      <c r="P264" s="14">
        <f t="shared" si="4"/>
        <v>0.52127659574468088</v>
      </c>
      <c r="Q264" s="17">
        <f>Table1[[#This Row],[Price]]-Table1[[#This Row],[Competitor Pricing]]</f>
        <v>2.1300000000000026</v>
      </c>
    </row>
    <row r="265" spans="1:17" x14ac:dyDescent="0.3">
      <c r="A265" s="21">
        <v>44564</v>
      </c>
      <c r="B265" s="9" t="s">
        <v>55</v>
      </c>
      <c r="C265" s="9" t="s">
        <v>28</v>
      </c>
      <c r="D265" s="9" t="s">
        <v>17</v>
      </c>
      <c r="E265" s="9" t="s">
        <v>32</v>
      </c>
      <c r="F265" s="10">
        <v>211</v>
      </c>
      <c r="G265" s="10">
        <v>150</v>
      </c>
      <c r="H265" s="10">
        <v>20</v>
      </c>
      <c r="I265" s="11">
        <v>167.75</v>
      </c>
      <c r="J265" s="11">
        <v>60.11</v>
      </c>
      <c r="K265" s="10">
        <v>0</v>
      </c>
      <c r="L265" s="9" t="s">
        <v>19</v>
      </c>
      <c r="M265" s="9">
        <v>1</v>
      </c>
      <c r="N265" s="11">
        <v>62.3</v>
      </c>
      <c r="O265" s="26" t="s">
        <v>27</v>
      </c>
      <c r="P265" s="14">
        <f t="shared" si="4"/>
        <v>0.7109004739336493</v>
      </c>
      <c r="Q265" s="17">
        <f>Table1[[#This Row],[Price]]-Table1[[#This Row],[Competitor Pricing]]</f>
        <v>-2.1899999999999977</v>
      </c>
    </row>
    <row r="266" spans="1:17" x14ac:dyDescent="0.3">
      <c r="A266" s="20">
        <v>44564</v>
      </c>
      <c r="B266" s="6" t="s">
        <v>55</v>
      </c>
      <c r="C266" s="6" t="s">
        <v>30</v>
      </c>
      <c r="D266" s="6" t="s">
        <v>36</v>
      </c>
      <c r="E266" s="6" t="s">
        <v>18</v>
      </c>
      <c r="F266" s="7">
        <v>149</v>
      </c>
      <c r="G266" s="7">
        <v>15</v>
      </c>
      <c r="H266" s="7">
        <v>60</v>
      </c>
      <c r="I266" s="8">
        <v>21.91</v>
      </c>
      <c r="J266" s="8">
        <v>24.63</v>
      </c>
      <c r="K266" s="7">
        <v>20</v>
      </c>
      <c r="L266" s="6" t="s">
        <v>44</v>
      </c>
      <c r="M266" s="6">
        <v>0</v>
      </c>
      <c r="N266" s="8">
        <v>27.97</v>
      </c>
      <c r="O266" s="25" t="s">
        <v>34</v>
      </c>
      <c r="P266" s="14">
        <f t="shared" si="4"/>
        <v>0.10067114093959731</v>
      </c>
      <c r="Q266" s="17">
        <f>Table1[[#This Row],[Price]]-Table1[[#This Row],[Competitor Pricing]]</f>
        <v>-3.34</v>
      </c>
    </row>
    <row r="267" spans="1:17" x14ac:dyDescent="0.3">
      <c r="A267" s="21">
        <v>44564</v>
      </c>
      <c r="B267" s="9" t="s">
        <v>55</v>
      </c>
      <c r="C267" s="9" t="s">
        <v>33</v>
      </c>
      <c r="D267" s="9" t="s">
        <v>31</v>
      </c>
      <c r="E267" s="9" t="s">
        <v>18</v>
      </c>
      <c r="F267" s="10">
        <v>383</v>
      </c>
      <c r="G267" s="10">
        <v>36</v>
      </c>
      <c r="H267" s="10">
        <v>75</v>
      </c>
      <c r="I267" s="11">
        <v>26.89</v>
      </c>
      <c r="J267" s="11">
        <v>36.31</v>
      </c>
      <c r="K267" s="10">
        <v>5</v>
      </c>
      <c r="L267" s="9" t="s">
        <v>29</v>
      </c>
      <c r="M267" s="9">
        <v>1</v>
      </c>
      <c r="N267" s="11">
        <v>34.82</v>
      </c>
      <c r="O267" s="26" t="s">
        <v>20</v>
      </c>
      <c r="P267" s="14">
        <f t="shared" si="4"/>
        <v>9.3994778067885115E-2</v>
      </c>
      <c r="Q267" s="17">
        <f>Table1[[#This Row],[Price]]-Table1[[#This Row],[Competitor Pricing]]</f>
        <v>1.490000000000002</v>
      </c>
    </row>
    <row r="268" spans="1:17" x14ac:dyDescent="0.3">
      <c r="A268" s="20">
        <v>44564</v>
      </c>
      <c r="B268" s="6" t="s">
        <v>55</v>
      </c>
      <c r="C268" s="6" t="s">
        <v>35</v>
      </c>
      <c r="D268" s="6" t="s">
        <v>31</v>
      </c>
      <c r="E268" s="6" t="s">
        <v>32</v>
      </c>
      <c r="F268" s="7">
        <v>478</v>
      </c>
      <c r="G268" s="7">
        <v>303</v>
      </c>
      <c r="H268" s="7">
        <v>153</v>
      </c>
      <c r="I268" s="8">
        <v>307.7</v>
      </c>
      <c r="J268" s="8">
        <v>11.36</v>
      </c>
      <c r="K268" s="7">
        <v>15</v>
      </c>
      <c r="L268" s="6" t="s">
        <v>29</v>
      </c>
      <c r="M268" s="6">
        <v>1</v>
      </c>
      <c r="N268" s="8">
        <v>15.64</v>
      </c>
      <c r="O268" s="25" t="s">
        <v>20</v>
      </c>
      <c r="P268" s="14">
        <f t="shared" si="4"/>
        <v>0.63389121338912136</v>
      </c>
      <c r="Q268" s="17">
        <f>Table1[[#This Row],[Price]]-Table1[[#This Row],[Competitor Pricing]]</f>
        <v>-4.2800000000000011</v>
      </c>
    </row>
    <row r="269" spans="1:17" x14ac:dyDescent="0.3">
      <c r="A269" s="21">
        <v>44564</v>
      </c>
      <c r="B269" s="9" t="s">
        <v>55</v>
      </c>
      <c r="C269" s="9" t="s">
        <v>37</v>
      </c>
      <c r="D269" s="9" t="s">
        <v>31</v>
      </c>
      <c r="E269" s="9" t="s">
        <v>32</v>
      </c>
      <c r="F269" s="10">
        <v>217</v>
      </c>
      <c r="G269" s="10">
        <v>209</v>
      </c>
      <c r="H269" s="10">
        <v>35</v>
      </c>
      <c r="I269" s="11">
        <v>215.04</v>
      </c>
      <c r="J269" s="11">
        <v>63.1</v>
      </c>
      <c r="K269" s="10">
        <v>10</v>
      </c>
      <c r="L269" s="9" t="s">
        <v>19</v>
      </c>
      <c r="M269" s="9">
        <v>1</v>
      </c>
      <c r="N269" s="11">
        <v>65.17</v>
      </c>
      <c r="O269" s="26" t="s">
        <v>34</v>
      </c>
      <c r="P269" s="14">
        <f t="shared" si="4"/>
        <v>0.96313364055299544</v>
      </c>
      <c r="Q269" s="17">
        <f>Table1[[#This Row],[Price]]-Table1[[#This Row],[Competitor Pricing]]</f>
        <v>-2.0700000000000003</v>
      </c>
    </row>
    <row r="270" spans="1:17" x14ac:dyDescent="0.3">
      <c r="A270" s="20">
        <v>44564</v>
      </c>
      <c r="B270" s="6" t="s">
        <v>55</v>
      </c>
      <c r="C270" s="6" t="s">
        <v>40</v>
      </c>
      <c r="D270" s="6" t="s">
        <v>31</v>
      </c>
      <c r="E270" s="6" t="s">
        <v>26</v>
      </c>
      <c r="F270" s="7">
        <v>73</v>
      </c>
      <c r="G270" s="7">
        <v>69</v>
      </c>
      <c r="H270" s="7">
        <v>65</v>
      </c>
      <c r="I270" s="8">
        <v>68.510000000000005</v>
      </c>
      <c r="J270" s="8">
        <v>30.82</v>
      </c>
      <c r="K270" s="7">
        <v>20</v>
      </c>
      <c r="L270" s="6" t="s">
        <v>24</v>
      </c>
      <c r="M270" s="6">
        <v>0</v>
      </c>
      <c r="N270" s="8">
        <v>35.26</v>
      </c>
      <c r="O270" s="25" t="s">
        <v>34</v>
      </c>
      <c r="P270" s="14">
        <f t="shared" si="4"/>
        <v>0.9452054794520548</v>
      </c>
      <c r="Q270" s="17">
        <f>Table1[[#This Row],[Price]]-Table1[[#This Row],[Competitor Pricing]]</f>
        <v>-4.4399999999999977</v>
      </c>
    </row>
    <row r="271" spans="1:17" x14ac:dyDescent="0.3">
      <c r="A271" s="21">
        <v>44564</v>
      </c>
      <c r="B271" s="9" t="s">
        <v>55</v>
      </c>
      <c r="C271" s="9" t="s">
        <v>41</v>
      </c>
      <c r="D271" s="9" t="s">
        <v>31</v>
      </c>
      <c r="E271" s="9" t="s">
        <v>26</v>
      </c>
      <c r="F271" s="10">
        <v>467</v>
      </c>
      <c r="G271" s="10">
        <v>143</v>
      </c>
      <c r="H271" s="10">
        <v>183</v>
      </c>
      <c r="I271" s="11">
        <v>139.44</v>
      </c>
      <c r="J271" s="11">
        <v>23.73</v>
      </c>
      <c r="K271" s="10">
        <v>0</v>
      </c>
      <c r="L271" s="9" t="s">
        <v>44</v>
      </c>
      <c r="M271" s="9">
        <v>0</v>
      </c>
      <c r="N271" s="11">
        <v>21.84</v>
      </c>
      <c r="O271" s="26" t="s">
        <v>34</v>
      </c>
      <c r="P271" s="14">
        <f t="shared" si="4"/>
        <v>0.30620985010706636</v>
      </c>
      <c r="Q271" s="17">
        <f>Table1[[#This Row],[Price]]-Table1[[#This Row],[Competitor Pricing]]</f>
        <v>1.8900000000000006</v>
      </c>
    </row>
    <row r="272" spans="1:17" x14ac:dyDescent="0.3">
      <c r="A272" s="20">
        <v>44564</v>
      </c>
      <c r="B272" s="6" t="s">
        <v>55</v>
      </c>
      <c r="C272" s="6" t="s">
        <v>42</v>
      </c>
      <c r="D272" s="6" t="s">
        <v>38</v>
      </c>
      <c r="E272" s="6" t="s">
        <v>26</v>
      </c>
      <c r="F272" s="7">
        <v>353</v>
      </c>
      <c r="G272" s="7">
        <v>239</v>
      </c>
      <c r="H272" s="7">
        <v>44</v>
      </c>
      <c r="I272" s="8">
        <v>255.26</v>
      </c>
      <c r="J272" s="8">
        <v>29.49</v>
      </c>
      <c r="K272" s="7">
        <v>5</v>
      </c>
      <c r="L272" s="6" t="s">
        <v>24</v>
      </c>
      <c r="M272" s="6">
        <v>0</v>
      </c>
      <c r="N272" s="8">
        <v>31.68</v>
      </c>
      <c r="O272" s="25" t="s">
        <v>34</v>
      </c>
      <c r="P272" s="14">
        <f t="shared" si="4"/>
        <v>0.67705382436260619</v>
      </c>
      <c r="Q272" s="17">
        <f>Table1[[#This Row],[Price]]-Table1[[#This Row],[Competitor Pricing]]</f>
        <v>-2.1900000000000013</v>
      </c>
    </row>
    <row r="273" spans="1:17" x14ac:dyDescent="0.3">
      <c r="A273" s="21">
        <v>44564</v>
      </c>
      <c r="B273" s="9" t="s">
        <v>55</v>
      </c>
      <c r="C273" s="9" t="s">
        <v>43</v>
      </c>
      <c r="D273" s="9" t="s">
        <v>17</v>
      </c>
      <c r="E273" s="9" t="s">
        <v>18</v>
      </c>
      <c r="F273" s="10">
        <v>471</v>
      </c>
      <c r="G273" s="10">
        <v>192</v>
      </c>
      <c r="H273" s="10">
        <v>115</v>
      </c>
      <c r="I273" s="11">
        <v>188.72</v>
      </c>
      <c r="J273" s="11">
        <v>74.42</v>
      </c>
      <c r="K273" s="10">
        <v>15</v>
      </c>
      <c r="L273" s="9" t="s">
        <v>29</v>
      </c>
      <c r="M273" s="9">
        <v>1</v>
      </c>
      <c r="N273" s="11">
        <v>75.61</v>
      </c>
      <c r="O273" s="26" t="s">
        <v>20</v>
      </c>
      <c r="P273" s="14">
        <f t="shared" si="4"/>
        <v>0.40764331210191085</v>
      </c>
      <c r="Q273" s="17">
        <f>Table1[[#This Row],[Price]]-Table1[[#This Row],[Competitor Pricing]]</f>
        <v>-1.1899999999999977</v>
      </c>
    </row>
    <row r="274" spans="1:17" x14ac:dyDescent="0.3">
      <c r="A274" s="20">
        <v>44564</v>
      </c>
      <c r="B274" s="6" t="s">
        <v>55</v>
      </c>
      <c r="C274" s="6" t="s">
        <v>45</v>
      </c>
      <c r="D274" s="6" t="s">
        <v>38</v>
      </c>
      <c r="E274" s="6" t="s">
        <v>23</v>
      </c>
      <c r="F274" s="7">
        <v>129</v>
      </c>
      <c r="G274" s="7">
        <v>23</v>
      </c>
      <c r="H274" s="7">
        <v>92</v>
      </c>
      <c r="I274" s="8">
        <v>38.86</v>
      </c>
      <c r="J274" s="8">
        <v>58.3</v>
      </c>
      <c r="K274" s="7">
        <v>20</v>
      </c>
      <c r="L274" s="6" t="s">
        <v>19</v>
      </c>
      <c r="M274" s="6">
        <v>1</v>
      </c>
      <c r="N274" s="8">
        <v>59.12</v>
      </c>
      <c r="O274" s="25" t="s">
        <v>20</v>
      </c>
      <c r="P274" s="14">
        <f t="shared" si="4"/>
        <v>0.17829457364341086</v>
      </c>
      <c r="Q274" s="17">
        <f>Table1[[#This Row],[Price]]-Table1[[#This Row],[Competitor Pricing]]</f>
        <v>-0.82000000000000028</v>
      </c>
    </row>
    <row r="275" spans="1:17" x14ac:dyDescent="0.3">
      <c r="A275" s="21">
        <v>44564</v>
      </c>
      <c r="B275" s="9" t="s">
        <v>55</v>
      </c>
      <c r="C275" s="9" t="s">
        <v>46</v>
      </c>
      <c r="D275" s="9" t="s">
        <v>17</v>
      </c>
      <c r="E275" s="9" t="s">
        <v>32</v>
      </c>
      <c r="F275" s="10">
        <v>301</v>
      </c>
      <c r="G275" s="10">
        <v>165</v>
      </c>
      <c r="H275" s="10">
        <v>34</v>
      </c>
      <c r="I275" s="11">
        <v>160.46</v>
      </c>
      <c r="J275" s="11">
        <v>60.58</v>
      </c>
      <c r="K275" s="10">
        <v>0</v>
      </c>
      <c r="L275" s="9" t="s">
        <v>24</v>
      </c>
      <c r="M275" s="9">
        <v>1</v>
      </c>
      <c r="N275" s="11">
        <v>58.02</v>
      </c>
      <c r="O275" s="26" t="s">
        <v>34</v>
      </c>
      <c r="P275" s="14">
        <f t="shared" si="4"/>
        <v>0.54817275747508309</v>
      </c>
      <c r="Q275" s="17">
        <f>Table1[[#This Row],[Price]]-Table1[[#This Row],[Competitor Pricing]]</f>
        <v>2.5599999999999952</v>
      </c>
    </row>
    <row r="276" spans="1:17" x14ac:dyDescent="0.3">
      <c r="A276" s="20">
        <v>44564</v>
      </c>
      <c r="B276" s="6" t="s">
        <v>55</v>
      </c>
      <c r="C276" s="6" t="s">
        <v>47</v>
      </c>
      <c r="D276" s="6" t="s">
        <v>17</v>
      </c>
      <c r="E276" s="6" t="s">
        <v>23</v>
      </c>
      <c r="F276" s="7">
        <v>423</v>
      </c>
      <c r="G276" s="7">
        <v>85</v>
      </c>
      <c r="H276" s="7">
        <v>73</v>
      </c>
      <c r="I276" s="8">
        <v>95.5</v>
      </c>
      <c r="J276" s="8">
        <v>73.48</v>
      </c>
      <c r="K276" s="7">
        <v>0</v>
      </c>
      <c r="L276" s="6" t="s">
        <v>19</v>
      </c>
      <c r="M276" s="6">
        <v>0</v>
      </c>
      <c r="N276" s="8">
        <v>77</v>
      </c>
      <c r="O276" s="25" t="s">
        <v>39</v>
      </c>
      <c r="P276" s="14">
        <f t="shared" si="4"/>
        <v>0.20094562647754138</v>
      </c>
      <c r="Q276" s="17">
        <f>Table1[[#This Row],[Price]]-Table1[[#This Row],[Competitor Pricing]]</f>
        <v>-3.519999999999996</v>
      </c>
    </row>
    <row r="277" spans="1:17" x14ac:dyDescent="0.3">
      <c r="A277" s="21">
        <v>44564</v>
      </c>
      <c r="B277" s="9" t="s">
        <v>55</v>
      </c>
      <c r="C277" s="9" t="s">
        <v>48</v>
      </c>
      <c r="D277" s="9" t="s">
        <v>17</v>
      </c>
      <c r="E277" s="9" t="s">
        <v>32</v>
      </c>
      <c r="F277" s="10">
        <v>385</v>
      </c>
      <c r="G277" s="10">
        <v>79</v>
      </c>
      <c r="H277" s="10">
        <v>130</v>
      </c>
      <c r="I277" s="11">
        <v>86.62</v>
      </c>
      <c r="J277" s="11">
        <v>16.18</v>
      </c>
      <c r="K277" s="10">
        <v>10</v>
      </c>
      <c r="L277" s="9" t="s">
        <v>29</v>
      </c>
      <c r="M277" s="9">
        <v>0</v>
      </c>
      <c r="N277" s="11">
        <v>18.350000000000001</v>
      </c>
      <c r="O277" s="26" t="s">
        <v>39</v>
      </c>
      <c r="P277" s="14">
        <f t="shared" si="4"/>
        <v>0.20519480519480521</v>
      </c>
      <c r="Q277" s="17">
        <f>Table1[[#This Row],[Price]]-Table1[[#This Row],[Competitor Pricing]]</f>
        <v>-2.1700000000000017</v>
      </c>
    </row>
    <row r="278" spans="1:17" x14ac:dyDescent="0.3">
      <c r="A278" s="20">
        <v>44564</v>
      </c>
      <c r="B278" s="6" t="s">
        <v>55</v>
      </c>
      <c r="C278" s="6" t="s">
        <v>49</v>
      </c>
      <c r="D278" s="6" t="s">
        <v>22</v>
      </c>
      <c r="E278" s="6" t="s">
        <v>18</v>
      </c>
      <c r="F278" s="7">
        <v>74</v>
      </c>
      <c r="G278" s="7">
        <v>33</v>
      </c>
      <c r="H278" s="7">
        <v>29</v>
      </c>
      <c r="I278" s="8">
        <v>43.64</v>
      </c>
      <c r="J278" s="8">
        <v>38.520000000000003</v>
      </c>
      <c r="K278" s="7">
        <v>15</v>
      </c>
      <c r="L278" s="6" t="s">
        <v>19</v>
      </c>
      <c r="M278" s="6">
        <v>0</v>
      </c>
      <c r="N278" s="8">
        <v>39.57</v>
      </c>
      <c r="O278" s="25" t="s">
        <v>39</v>
      </c>
      <c r="P278" s="14">
        <f t="shared" si="4"/>
        <v>0.44594594594594594</v>
      </c>
      <c r="Q278" s="17">
        <f>Table1[[#This Row],[Price]]-Table1[[#This Row],[Competitor Pricing]]</f>
        <v>-1.0499999999999972</v>
      </c>
    </row>
    <row r="279" spans="1:17" x14ac:dyDescent="0.3">
      <c r="A279" s="21">
        <v>44564</v>
      </c>
      <c r="B279" s="9" t="s">
        <v>55</v>
      </c>
      <c r="C279" s="9" t="s">
        <v>50</v>
      </c>
      <c r="D279" s="9" t="s">
        <v>31</v>
      </c>
      <c r="E279" s="9" t="s">
        <v>23</v>
      </c>
      <c r="F279" s="10">
        <v>467</v>
      </c>
      <c r="G279" s="10">
        <v>270</v>
      </c>
      <c r="H279" s="10">
        <v>108</v>
      </c>
      <c r="I279" s="11">
        <v>270.37</v>
      </c>
      <c r="J279" s="11">
        <v>46.93</v>
      </c>
      <c r="K279" s="10">
        <v>0</v>
      </c>
      <c r="L279" s="9" t="s">
        <v>44</v>
      </c>
      <c r="M279" s="9">
        <v>0</v>
      </c>
      <c r="N279" s="11">
        <v>46.83</v>
      </c>
      <c r="O279" s="26" t="s">
        <v>34</v>
      </c>
      <c r="P279" s="14">
        <f t="shared" si="4"/>
        <v>0.57815845824411138</v>
      </c>
      <c r="Q279" s="17">
        <f>Table1[[#This Row],[Price]]-Table1[[#This Row],[Competitor Pricing]]</f>
        <v>0.10000000000000142</v>
      </c>
    </row>
    <row r="280" spans="1:17" x14ac:dyDescent="0.3">
      <c r="A280" s="20">
        <v>44564</v>
      </c>
      <c r="B280" s="6" t="s">
        <v>55</v>
      </c>
      <c r="C280" s="6" t="s">
        <v>51</v>
      </c>
      <c r="D280" s="6" t="s">
        <v>22</v>
      </c>
      <c r="E280" s="6" t="s">
        <v>18</v>
      </c>
      <c r="F280" s="7">
        <v>140</v>
      </c>
      <c r="G280" s="7">
        <v>1</v>
      </c>
      <c r="H280" s="7">
        <v>47</v>
      </c>
      <c r="I280" s="8">
        <v>-3.91</v>
      </c>
      <c r="J280" s="8">
        <v>80.41</v>
      </c>
      <c r="K280" s="7">
        <v>0</v>
      </c>
      <c r="L280" s="6" t="s">
        <v>44</v>
      </c>
      <c r="M280" s="6">
        <v>0</v>
      </c>
      <c r="N280" s="8">
        <v>76.900000000000006</v>
      </c>
      <c r="O280" s="25" t="s">
        <v>34</v>
      </c>
      <c r="P280" s="14">
        <f t="shared" si="4"/>
        <v>7.1428571428571426E-3</v>
      </c>
      <c r="Q280" s="17">
        <f>Table1[[#This Row],[Price]]-Table1[[#This Row],[Competitor Pricing]]</f>
        <v>3.5099999999999909</v>
      </c>
    </row>
    <row r="281" spans="1:17" x14ac:dyDescent="0.3">
      <c r="A281" s="21">
        <v>44564</v>
      </c>
      <c r="B281" s="9" t="s">
        <v>55</v>
      </c>
      <c r="C281" s="9" t="s">
        <v>52</v>
      </c>
      <c r="D281" s="9" t="s">
        <v>38</v>
      </c>
      <c r="E281" s="9" t="s">
        <v>32</v>
      </c>
      <c r="F281" s="10">
        <v>197</v>
      </c>
      <c r="G281" s="10">
        <v>149</v>
      </c>
      <c r="H281" s="10">
        <v>134</v>
      </c>
      <c r="I281" s="11">
        <v>161.19999999999999</v>
      </c>
      <c r="J281" s="11">
        <v>95.33</v>
      </c>
      <c r="K281" s="10">
        <v>20</v>
      </c>
      <c r="L281" s="9" t="s">
        <v>29</v>
      </c>
      <c r="M281" s="9">
        <v>0</v>
      </c>
      <c r="N281" s="11">
        <v>97.42</v>
      </c>
      <c r="O281" s="26" t="s">
        <v>34</v>
      </c>
      <c r="P281" s="14">
        <f t="shared" si="4"/>
        <v>0.75634517766497467</v>
      </c>
      <c r="Q281" s="17">
        <f>Table1[[#This Row],[Price]]-Table1[[#This Row],[Competitor Pricing]]</f>
        <v>-2.0900000000000034</v>
      </c>
    </row>
    <row r="282" spans="1:17" x14ac:dyDescent="0.3">
      <c r="A282" s="20">
        <v>44564</v>
      </c>
      <c r="B282" s="6" t="s">
        <v>56</v>
      </c>
      <c r="C282" s="6" t="s">
        <v>16</v>
      </c>
      <c r="D282" s="6" t="s">
        <v>17</v>
      </c>
      <c r="E282" s="6" t="s">
        <v>18</v>
      </c>
      <c r="F282" s="7">
        <v>159</v>
      </c>
      <c r="G282" s="7">
        <v>3</v>
      </c>
      <c r="H282" s="7">
        <v>145</v>
      </c>
      <c r="I282" s="8">
        <v>18.12</v>
      </c>
      <c r="J282" s="8">
        <v>36.299999999999997</v>
      </c>
      <c r="K282" s="7">
        <v>0</v>
      </c>
      <c r="L282" s="6" t="s">
        <v>44</v>
      </c>
      <c r="M282" s="6">
        <v>0</v>
      </c>
      <c r="N282" s="8">
        <v>34.96</v>
      </c>
      <c r="O282" s="25" t="s">
        <v>34</v>
      </c>
      <c r="P282" s="14">
        <f t="shared" si="4"/>
        <v>1.8867924528301886E-2</v>
      </c>
      <c r="Q282" s="17">
        <f>Table1[[#This Row],[Price]]-Table1[[#This Row],[Competitor Pricing]]</f>
        <v>1.3399999999999963</v>
      </c>
    </row>
    <row r="283" spans="1:17" x14ac:dyDescent="0.3">
      <c r="A283" s="21">
        <v>44564</v>
      </c>
      <c r="B283" s="9" t="s">
        <v>56</v>
      </c>
      <c r="C283" s="9" t="s">
        <v>21</v>
      </c>
      <c r="D283" s="9" t="s">
        <v>31</v>
      </c>
      <c r="E283" s="9" t="s">
        <v>18</v>
      </c>
      <c r="F283" s="10">
        <v>322</v>
      </c>
      <c r="G283" s="10">
        <v>59</v>
      </c>
      <c r="H283" s="10">
        <v>111</v>
      </c>
      <c r="I283" s="11">
        <v>78.349999999999994</v>
      </c>
      <c r="J283" s="11">
        <v>82.08</v>
      </c>
      <c r="K283" s="10">
        <v>10</v>
      </c>
      <c r="L283" s="9" t="s">
        <v>24</v>
      </c>
      <c r="M283" s="9">
        <v>1</v>
      </c>
      <c r="N283" s="11">
        <v>84.13</v>
      </c>
      <c r="O283" s="26" t="s">
        <v>39</v>
      </c>
      <c r="P283" s="14">
        <f t="shared" si="4"/>
        <v>0.18322981366459629</v>
      </c>
      <c r="Q283" s="17">
        <f>Table1[[#This Row],[Price]]-Table1[[#This Row],[Competitor Pricing]]</f>
        <v>-2.0499999999999972</v>
      </c>
    </row>
    <row r="284" spans="1:17" x14ac:dyDescent="0.3">
      <c r="A284" s="20">
        <v>44564</v>
      </c>
      <c r="B284" s="6" t="s">
        <v>56</v>
      </c>
      <c r="C284" s="6" t="s">
        <v>25</v>
      </c>
      <c r="D284" s="6" t="s">
        <v>17</v>
      </c>
      <c r="E284" s="6" t="s">
        <v>32</v>
      </c>
      <c r="F284" s="7">
        <v>106</v>
      </c>
      <c r="G284" s="7">
        <v>15</v>
      </c>
      <c r="H284" s="7">
        <v>101</v>
      </c>
      <c r="I284" s="8">
        <v>25.13</v>
      </c>
      <c r="J284" s="8">
        <v>46.4</v>
      </c>
      <c r="K284" s="7">
        <v>20</v>
      </c>
      <c r="L284" s="6" t="s">
        <v>44</v>
      </c>
      <c r="M284" s="6">
        <v>0</v>
      </c>
      <c r="N284" s="8">
        <v>49.42</v>
      </c>
      <c r="O284" s="25" t="s">
        <v>27</v>
      </c>
      <c r="P284" s="14">
        <f t="shared" si="4"/>
        <v>0.14150943396226415</v>
      </c>
      <c r="Q284" s="17">
        <f>Table1[[#This Row],[Price]]-Table1[[#This Row],[Competitor Pricing]]</f>
        <v>-3.0200000000000031</v>
      </c>
    </row>
    <row r="285" spans="1:17" x14ac:dyDescent="0.3">
      <c r="A285" s="21">
        <v>44564</v>
      </c>
      <c r="B285" s="9" t="s">
        <v>56</v>
      </c>
      <c r="C285" s="9" t="s">
        <v>28</v>
      </c>
      <c r="D285" s="9" t="s">
        <v>17</v>
      </c>
      <c r="E285" s="9" t="s">
        <v>23</v>
      </c>
      <c r="F285" s="10">
        <v>475</v>
      </c>
      <c r="G285" s="10">
        <v>351</v>
      </c>
      <c r="H285" s="10">
        <v>132</v>
      </c>
      <c r="I285" s="11">
        <v>358.12</v>
      </c>
      <c r="J285" s="11">
        <v>59.76</v>
      </c>
      <c r="K285" s="10">
        <v>5</v>
      </c>
      <c r="L285" s="9" t="s">
        <v>29</v>
      </c>
      <c r="M285" s="9">
        <v>0</v>
      </c>
      <c r="N285" s="11">
        <v>57.14</v>
      </c>
      <c r="O285" s="26" t="s">
        <v>39</v>
      </c>
      <c r="P285" s="14">
        <f t="shared" si="4"/>
        <v>0.73894736842105269</v>
      </c>
      <c r="Q285" s="17">
        <f>Table1[[#This Row],[Price]]-Table1[[#This Row],[Competitor Pricing]]</f>
        <v>2.6199999999999974</v>
      </c>
    </row>
    <row r="286" spans="1:17" x14ac:dyDescent="0.3">
      <c r="A286" s="20">
        <v>44564</v>
      </c>
      <c r="B286" s="6" t="s">
        <v>56</v>
      </c>
      <c r="C286" s="6" t="s">
        <v>30</v>
      </c>
      <c r="D286" s="6" t="s">
        <v>17</v>
      </c>
      <c r="E286" s="6" t="s">
        <v>18</v>
      </c>
      <c r="F286" s="7">
        <v>83</v>
      </c>
      <c r="G286" s="7">
        <v>66</v>
      </c>
      <c r="H286" s="7">
        <v>57</v>
      </c>
      <c r="I286" s="8">
        <v>63.37</v>
      </c>
      <c r="J286" s="8">
        <v>60.35</v>
      </c>
      <c r="K286" s="7">
        <v>20</v>
      </c>
      <c r="L286" s="6" t="s">
        <v>24</v>
      </c>
      <c r="M286" s="6">
        <v>1</v>
      </c>
      <c r="N286" s="8">
        <v>60.81</v>
      </c>
      <c r="O286" s="25" t="s">
        <v>34</v>
      </c>
      <c r="P286" s="14">
        <f t="shared" si="4"/>
        <v>0.79518072289156627</v>
      </c>
      <c r="Q286" s="17">
        <f>Table1[[#This Row],[Price]]-Table1[[#This Row],[Competitor Pricing]]</f>
        <v>-0.46000000000000085</v>
      </c>
    </row>
    <row r="287" spans="1:17" x14ac:dyDescent="0.3">
      <c r="A287" s="21">
        <v>44564</v>
      </c>
      <c r="B287" s="9" t="s">
        <v>56</v>
      </c>
      <c r="C287" s="9" t="s">
        <v>33</v>
      </c>
      <c r="D287" s="9" t="s">
        <v>17</v>
      </c>
      <c r="E287" s="9" t="s">
        <v>26</v>
      </c>
      <c r="F287" s="10">
        <v>117</v>
      </c>
      <c r="G287" s="10">
        <v>62</v>
      </c>
      <c r="H287" s="10">
        <v>58</v>
      </c>
      <c r="I287" s="11">
        <v>59.04</v>
      </c>
      <c r="J287" s="11">
        <v>40.61</v>
      </c>
      <c r="K287" s="10">
        <v>10</v>
      </c>
      <c r="L287" s="9" t="s">
        <v>44</v>
      </c>
      <c r="M287" s="9">
        <v>1</v>
      </c>
      <c r="N287" s="11">
        <v>44.37</v>
      </c>
      <c r="O287" s="26" t="s">
        <v>20</v>
      </c>
      <c r="P287" s="14">
        <f t="shared" si="4"/>
        <v>0.52991452991452992</v>
      </c>
      <c r="Q287" s="17">
        <f>Table1[[#This Row],[Price]]-Table1[[#This Row],[Competitor Pricing]]</f>
        <v>-3.759999999999998</v>
      </c>
    </row>
    <row r="288" spans="1:17" x14ac:dyDescent="0.3">
      <c r="A288" s="20">
        <v>44564</v>
      </c>
      <c r="B288" s="6" t="s">
        <v>56</v>
      </c>
      <c r="C288" s="6" t="s">
        <v>35</v>
      </c>
      <c r="D288" s="6" t="s">
        <v>38</v>
      </c>
      <c r="E288" s="6" t="s">
        <v>26</v>
      </c>
      <c r="F288" s="7">
        <v>368</v>
      </c>
      <c r="G288" s="7">
        <v>77</v>
      </c>
      <c r="H288" s="7">
        <v>44</v>
      </c>
      <c r="I288" s="8">
        <v>95.69</v>
      </c>
      <c r="J288" s="8">
        <v>63.61</v>
      </c>
      <c r="K288" s="7">
        <v>5</v>
      </c>
      <c r="L288" s="6" t="s">
        <v>19</v>
      </c>
      <c r="M288" s="6">
        <v>1</v>
      </c>
      <c r="N288" s="8">
        <v>63.81</v>
      </c>
      <c r="O288" s="25" t="s">
        <v>34</v>
      </c>
      <c r="P288" s="14">
        <f t="shared" si="4"/>
        <v>0.20923913043478262</v>
      </c>
      <c r="Q288" s="17">
        <f>Table1[[#This Row],[Price]]-Table1[[#This Row],[Competitor Pricing]]</f>
        <v>-0.20000000000000284</v>
      </c>
    </row>
    <row r="289" spans="1:17" x14ac:dyDescent="0.3">
      <c r="A289" s="21">
        <v>44564</v>
      </c>
      <c r="B289" s="9" t="s">
        <v>56</v>
      </c>
      <c r="C289" s="9" t="s">
        <v>37</v>
      </c>
      <c r="D289" s="9" t="s">
        <v>31</v>
      </c>
      <c r="E289" s="9" t="s">
        <v>23</v>
      </c>
      <c r="F289" s="10">
        <v>207</v>
      </c>
      <c r="G289" s="10">
        <v>177</v>
      </c>
      <c r="H289" s="10">
        <v>154</v>
      </c>
      <c r="I289" s="11">
        <v>173.93</v>
      </c>
      <c r="J289" s="11">
        <v>97.09</v>
      </c>
      <c r="K289" s="10">
        <v>5</v>
      </c>
      <c r="L289" s="9" t="s">
        <v>44</v>
      </c>
      <c r="M289" s="9">
        <v>1</v>
      </c>
      <c r="N289" s="11">
        <v>95.17</v>
      </c>
      <c r="O289" s="26" t="s">
        <v>27</v>
      </c>
      <c r="P289" s="14">
        <f t="shared" si="4"/>
        <v>0.85507246376811596</v>
      </c>
      <c r="Q289" s="17">
        <f>Table1[[#This Row],[Price]]-Table1[[#This Row],[Competitor Pricing]]</f>
        <v>1.9200000000000017</v>
      </c>
    </row>
    <row r="290" spans="1:17" x14ac:dyDescent="0.3">
      <c r="A290" s="20">
        <v>44564</v>
      </c>
      <c r="B290" s="6" t="s">
        <v>56</v>
      </c>
      <c r="C290" s="6" t="s">
        <v>40</v>
      </c>
      <c r="D290" s="6" t="s">
        <v>31</v>
      </c>
      <c r="E290" s="6" t="s">
        <v>26</v>
      </c>
      <c r="F290" s="7">
        <v>398</v>
      </c>
      <c r="G290" s="7">
        <v>349</v>
      </c>
      <c r="H290" s="7">
        <v>98</v>
      </c>
      <c r="I290" s="8">
        <v>350.47</v>
      </c>
      <c r="J290" s="8">
        <v>52.72</v>
      </c>
      <c r="K290" s="7">
        <v>10</v>
      </c>
      <c r="L290" s="6" t="s">
        <v>24</v>
      </c>
      <c r="M290" s="6">
        <v>0</v>
      </c>
      <c r="N290" s="8">
        <v>55.74</v>
      </c>
      <c r="O290" s="25" t="s">
        <v>34</v>
      </c>
      <c r="P290" s="14">
        <f t="shared" si="4"/>
        <v>0.87688442211055273</v>
      </c>
      <c r="Q290" s="17">
        <f>Table1[[#This Row],[Price]]-Table1[[#This Row],[Competitor Pricing]]</f>
        <v>-3.0200000000000031</v>
      </c>
    </row>
    <row r="291" spans="1:17" x14ac:dyDescent="0.3">
      <c r="A291" s="21">
        <v>44564</v>
      </c>
      <c r="B291" s="9" t="s">
        <v>56</v>
      </c>
      <c r="C291" s="9" t="s">
        <v>41</v>
      </c>
      <c r="D291" s="9" t="s">
        <v>17</v>
      </c>
      <c r="E291" s="9" t="s">
        <v>18</v>
      </c>
      <c r="F291" s="10">
        <v>476</v>
      </c>
      <c r="G291" s="10">
        <v>74</v>
      </c>
      <c r="H291" s="10">
        <v>25</v>
      </c>
      <c r="I291" s="11">
        <v>91.48</v>
      </c>
      <c r="J291" s="11">
        <v>14.41</v>
      </c>
      <c r="K291" s="10">
        <v>20</v>
      </c>
      <c r="L291" s="9" t="s">
        <v>24</v>
      </c>
      <c r="M291" s="9">
        <v>1</v>
      </c>
      <c r="N291" s="11">
        <v>11.25</v>
      </c>
      <c r="O291" s="26" t="s">
        <v>39</v>
      </c>
      <c r="P291" s="14">
        <f t="shared" si="4"/>
        <v>0.15546218487394958</v>
      </c>
      <c r="Q291" s="17">
        <f>Table1[[#This Row],[Price]]-Table1[[#This Row],[Competitor Pricing]]</f>
        <v>3.16</v>
      </c>
    </row>
    <row r="292" spans="1:17" x14ac:dyDescent="0.3">
      <c r="A292" s="20">
        <v>44564</v>
      </c>
      <c r="B292" s="6" t="s">
        <v>56</v>
      </c>
      <c r="C292" s="6" t="s">
        <v>42</v>
      </c>
      <c r="D292" s="6" t="s">
        <v>17</v>
      </c>
      <c r="E292" s="6" t="s">
        <v>18</v>
      </c>
      <c r="F292" s="7">
        <v>119</v>
      </c>
      <c r="G292" s="7">
        <v>40</v>
      </c>
      <c r="H292" s="7">
        <v>151</v>
      </c>
      <c r="I292" s="8">
        <v>43.92</v>
      </c>
      <c r="J292" s="8">
        <v>74.14</v>
      </c>
      <c r="K292" s="7">
        <v>0</v>
      </c>
      <c r="L292" s="6" t="s">
        <v>29</v>
      </c>
      <c r="M292" s="6">
        <v>1</v>
      </c>
      <c r="N292" s="8">
        <v>69.67</v>
      </c>
      <c r="O292" s="25" t="s">
        <v>34</v>
      </c>
      <c r="P292" s="14">
        <f t="shared" si="4"/>
        <v>0.33613445378151263</v>
      </c>
      <c r="Q292" s="17">
        <f>Table1[[#This Row],[Price]]-Table1[[#This Row],[Competitor Pricing]]</f>
        <v>4.4699999999999989</v>
      </c>
    </row>
    <row r="293" spans="1:17" x14ac:dyDescent="0.3">
      <c r="A293" s="21">
        <v>44564</v>
      </c>
      <c r="B293" s="9" t="s">
        <v>56</v>
      </c>
      <c r="C293" s="9" t="s">
        <v>43</v>
      </c>
      <c r="D293" s="9" t="s">
        <v>22</v>
      </c>
      <c r="E293" s="9" t="s">
        <v>18</v>
      </c>
      <c r="F293" s="10">
        <v>77</v>
      </c>
      <c r="G293" s="10">
        <v>72</v>
      </c>
      <c r="H293" s="10">
        <v>27</v>
      </c>
      <c r="I293" s="11">
        <v>68.010000000000005</v>
      </c>
      <c r="J293" s="11">
        <v>46.94</v>
      </c>
      <c r="K293" s="10">
        <v>20</v>
      </c>
      <c r="L293" s="9" t="s">
        <v>19</v>
      </c>
      <c r="M293" s="9">
        <v>1</v>
      </c>
      <c r="N293" s="11">
        <v>46.58</v>
      </c>
      <c r="O293" s="26" t="s">
        <v>34</v>
      </c>
      <c r="P293" s="14">
        <f t="shared" si="4"/>
        <v>0.93506493506493504</v>
      </c>
      <c r="Q293" s="17">
        <f>Table1[[#This Row],[Price]]-Table1[[#This Row],[Competitor Pricing]]</f>
        <v>0.35999999999999943</v>
      </c>
    </row>
    <row r="294" spans="1:17" x14ac:dyDescent="0.3">
      <c r="A294" s="20">
        <v>44564</v>
      </c>
      <c r="B294" s="6" t="s">
        <v>56</v>
      </c>
      <c r="C294" s="6" t="s">
        <v>45</v>
      </c>
      <c r="D294" s="6" t="s">
        <v>22</v>
      </c>
      <c r="E294" s="6" t="s">
        <v>23</v>
      </c>
      <c r="F294" s="7">
        <v>191</v>
      </c>
      <c r="G294" s="7">
        <v>190</v>
      </c>
      <c r="H294" s="7">
        <v>126</v>
      </c>
      <c r="I294" s="8">
        <v>205.54</v>
      </c>
      <c r="J294" s="8">
        <v>23.04</v>
      </c>
      <c r="K294" s="7">
        <v>5</v>
      </c>
      <c r="L294" s="6" t="s">
        <v>44</v>
      </c>
      <c r="M294" s="6">
        <v>0</v>
      </c>
      <c r="N294" s="8">
        <v>19.329999999999998</v>
      </c>
      <c r="O294" s="25" t="s">
        <v>20</v>
      </c>
      <c r="P294" s="14">
        <f t="shared" si="4"/>
        <v>0.99476439790575921</v>
      </c>
      <c r="Q294" s="17">
        <f>Table1[[#This Row],[Price]]-Table1[[#This Row],[Competitor Pricing]]</f>
        <v>3.7100000000000009</v>
      </c>
    </row>
    <row r="295" spans="1:17" x14ac:dyDescent="0.3">
      <c r="A295" s="21">
        <v>44564</v>
      </c>
      <c r="B295" s="9" t="s">
        <v>56</v>
      </c>
      <c r="C295" s="9" t="s">
        <v>46</v>
      </c>
      <c r="D295" s="9" t="s">
        <v>22</v>
      </c>
      <c r="E295" s="9" t="s">
        <v>18</v>
      </c>
      <c r="F295" s="10">
        <v>419</v>
      </c>
      <c r="G295" s="10">
        <v>263</v>
      </c>
      <c r="H295" s="10">
        <v>189</v>
      </c>
      <c r="I295" s="11">
        <v>263.83</v>
      </c>
      <c r="J295" s="11">
        <v>28.02</v>
      </c>
      <c r="K295" s="10">
        <v>5</v>
      </c>
      <c r="L295" s="9" t="s">
        <v>24</v>
      </c>
      <c r="M295" s="9">
        <v>1</v>
      </c>
      <c r="N295" s="11">
        <v>23.72</v>
      </c>
      <c r="O295" s="26" t="s">
        <v>20</v>
      </c>
      <c r="P295" s="14">
        <f t="shared" si="4"/>
        <v>0.62768496420047737</v>
      </c>
      <c r="Q295" s="17">
        <f>Table1[[#This Row],[Price]]-Table1[[#This Row],[Competitor Pricing]]</f>
        <v>4.3000000000000007</v>
      </c>
    </row>
    <row r="296" spans="1:17" x14ac:dyDescent="0.3">
      <c r="A296" s="20">
        <v>44564</v>
      </c>
      <c r="B296" s="6" t="s">
        <v>56</v>
      </c>
      <c r="C296" s="6" t="s">
        <v>47</v>
      </c>
      <c r="D296" s="6" t="s">
        <v>22</v>
      </c>
      <c r="E296" s="6" t="s">
        <v>23</v>
      </c>
      <c r="F296" s="7">
        <v>184</v>
      </c>
      <c r="G296" s="7">
        <v>126</v>
      </c>
      <c r="H296" s="7">
        <v>175</v>
      </c>
      <c r="I296" s="8">
        <v>143.76</v>
      </c>
      <c r="J296" s="8">
        <v>86.82</v>
      </c>
      <c r="K296" s="7">
        <v>20</v>
      </c>
      <c r="L296" s="6" t="s">
        <v>29</v>
      </c>
      <c r="M296" s="6">
        <v>0</v>
      </c>
      <c r="N296" s="8">
        <v>85.26</v>
      </c>
      <c r="O296" s="25" t="s">
        <v>20</v>
      </c>
      <c r="P296" s="14">
        <f t="shared" si="4"/>
        <v>0.68478260869565222</v>
      </c>
      <c r="Q296" s="17">
        <f>Table1[[#This Row],[Price]]-Table1[[#This Row],[Competitor Pricing]]</f>
        <v>1.5599999999999881</v>
      </c>
    </row>
    <row r="297" spans="1:17" x14ac:dyDescent="0.3">
      <c r="A297" s="21">
        <v>44564</v>
      </c>
      <c r="B297" s="9" t="s">
        <v>56</v>
      </c>
      <c r="C297" s="9" t="s">
        <v>48</v>
      </c>
      <c r="D297" s="9" t="s">
        <v>38</v>
      </c>
      <c r="E297" s="9" t="s">
        <v>18</v>
      </c>
      <c r="F297" s="10">
        <v>361</v>
      </c>
      <c r="G297" s="10">
        <v>17</v>
      </c>
      <c r="H297" s="10">
        <v>171</v>
      </c>
      <c r="I297" s="11">
        <v>25.61</v>
      </c>
      <c r="J297" s="11">
        <v>80.31</v>
      </c>
      <c r="K297" s="10">
        <v>5</v>
      </c>
      <c r="L297" s="9" t="s">
        <v>29</v>
      </c>
      <c r="M297" s="9">
        <v>1</v>
      </c>
      <c r="N297" s="11">
        <v>76.56</v>
      </c>
      <c r="O297" s="26" t="s">
        <v>39</v>
      </c>
      <c r="P297" s="14">
        <f t="shared" si="4"/>
        <v>4.7091412742382273E-2</v>
      </c>
      <c r="Q297" s="17">
        <f>Table1[[#This Row],[Price]]-Table1[[#This Row],[Competitor Pricing]]</f>
        <v>3.75</v>
      </c>
    </row>
    <row r="298" spans="1:17" x14ac:dyDescent="0.3">
      <c r="A298" s="20">
        <v>44564</v>
      </c>
      <c r="B298" s="6" t="s">
        <v>56</v>
      </c>
      <c r="C298" s="6" t="s">
        <v>49</v>
      </c>
      <c r="D298" s="6" t="s">
        <v>22</v>
      </c>
      <c r="E298" s="6" t="s">
        <v>32</v>
      </c>
      <c r="F298" s="7">
        <v>154</v>
      </c>
      <c r="G298" s="7">
        <v>19</v>
      </c>
      <c r="H298" s="7">
        <v>116</v>
      </c>
      <c r="I298" s="8">
        <v>37.450000000000003</v>
      </c>
      <c r="J298" s="8">
        <v>41.28</v>
      </c>
      <c r="K298" s="7">
        <v>10</v>
      </c>
      <c r="L298" s="6" t="s">
        <v>19</v>
      </c>
      <c r="M298" s="6">
        <v>0</v>
      </c>
      <c r="N298" s="8">
        <v>40.590000000000003</v>
      </c>
      <c r="O298" s="25" t="s">
        <v>39</v>
      </c>
      <c r="P298" s="14">
        <f t="shared" si="4"/>
        <v>0.12337662337662338</v>
      </c>
      <c r="Q298" s="17">
        <f>Table1[[#This Row],[Price]]-Table1[[#This Row],[Competitor Pricing]]</f>
        <v>0.68999999999999773</v>
      </c>
    </row>
    <row r="299" spans="1:17" x14ac:dyDescent="0.3">
      <c r="A299" s="21">
        <v>44564</v>
      </c>
      <c r="B299" s="9" t="s">
        <v>56</v>
      </c>
      <c r="C299" s="9" t="s">
        <v>50</v>
      </c>
      <c r="D299" s="9" t="s">
        <v>22</v>
      </c>
      <c r="E299" s="9" t="s">
        <v>18</v>
      </c>
      <c r="F299" s="10">
        <v>376</v>
      </c>
      <c r="G299" s="10">
        <v>36</v>
      </c>
      <c r="H299" s="10">
        <v>53</v>
      </c>
      <c r="I299" s="11">
        <v>43.47</v>
      </c>
      <c r="J299" s="11">
        <v>38.42</v>
      </c>
      <c r="K299" s="10">
        <v>0</v>
      </c>
      <c r="L299" s="9" t="s">
        <v>44</v>
      </c>
      <c r="M299" s="9">
        <v>1</v>
      </c>
      <c r="N299" s="11">
        <v>35.979999999999997</v>
      </c>
      <c r="O299" s="26" t="s">
        <v>34</v>
      </c>
      <c r="P299" s="14">
        <f t="shared" si="4"/>
        <v>9.5744680851063829E-2</v>
      </c>
      <c r="Q299" s="17">
        <f>Table1[[#This Row],[Price]]-Table1[[#This Row],[Competitor Pricing]]</f>
        <v>2.4400000000000048</v>
      </c>
    </row>
    <row r="300" spans="1:17" x14ac:dyDescent="0.3">
      <c r="A300" s="20">
        <v>44564</v>
      </c>
      <c r="B300" s="6" t="s">
        <v>56</v>
      </c>
      <c r="C300" s="6" t="s">
        <v>51</v>
      </c>
      <c r="D300" s="6" t="s">
        <v>22</v>
      </c>
      <c r="E300" s="6" t="s">
        <v>18</v>
      </c>
      <c r="F300" s="7">
        <v>268</v>
      </c>
      <c r="G300" s="7">
        <v>207</v>
      </c>
      <c r="H300" s="7">
        <v>177</v>
      </c>
      <c r="I300" s="8">
        <v>198.44</v>
      </c>
      <c r="J300" s="8">
        <v>59.93</v>
      </c>
      <c r="K300" s="7">
        <v>20</v>
      </c>
      <c r="L300" s="6" t="s">
        <v>44</v>
      </c>
      <c r="M300" s="6">
        <v>0</v>
      </c>
      <c r="N300" s="8">
        <v>64.67</v>
      </c>
      <c r="O300" s="25" t="s">
        <v>20</v>
      </c>
      <c r="P300" s="14">
        <f t="shared" si="4"/>
        <v>0.77238805970149249</v>
      </c>
      <c r="Q300" s="17">
        <f>Table1[[#This Row],[Price]]-Table1[[#This Row],[Competitor Pricing]]</f>
        <v>-4.740000000000002</v>
      </c>
    </row>
    <row r="301" spans="1:17" x14ac:dyDescent="0.3">
      <c r="A301" s="21">
        <v>44564</v>
      </c>
      <c r="B301" s="9" t="s">
        <v>56</v>
      </c>
      <c r="C301" s="9" t="s">
        <v>52</v>
      </c>
      <c r="D301" s="9" t="s">
        <v>22</v>
      </c>
      <c r="E301" s="9" t="s">
        <v>23</v>
      </c>
      <c r="F301" s="10">
        <v>451</v>
      </c>
      <c r="G301" s="10">
        <v>91</v>
      </c>
      <c r="H301" s="10">
        <v>193</v>
      </c>
      <c r="I301" s="11">
        <v>99.88</v>
      </c>
      <c r="J301" s="11">
        <v>66.760000000000005</v>
      </c>
      <c r="K301" s="10">
        <v>5</v>
      </c>
      <c r="L301" s="9" t="s">
        <v>24</v>
      </c>
      <c r="M301" s="9">
        <v>0</v>
      </c>
      <c r="N301" s="11">
        <v>62.53</v>
      </c>
      <c r="O301" s="26" t="s">
        <v>27</v>
      </c>
      <c r="P301" s="14">
        <f t="shared" si="4"/>
        <v>0.20177383592017739</v>
      </c>
      <c r="Q301" s="17">
        <f>Table1[[#This Row],[Price]]-Table1[[#This Row],[Competitor Pricing]]</f>
        <v>4.230000000000004</v>
      </c>
    </row>
    <row r="302" spans="1:17" x14ac:dyDescent="0.3">
      <c r="A302" s="20">
        <v>44565</v>
      </c>
      <c r="B302" s="6" t="s">
        <v>15</v>
      </c>
      <c r="C302" s="6" t="s">
        <v>16</v>
      </c>
      <c r="D302" s="6" t="s">
        <v>17</v>
      </c>
      <c r="E302" s="6" t="s">
        <v>23</v>
      </c>
      <c r="F302" s="7">
        <v>85</v>
      </c>
      <c r="G302" s="7">
        <v>58</v>
      </c>
      <c r="H302" s="7">
        <v>193</v>
      </c>
      <c r="I302" s="8">
        <v>52.87</v>
      </c>
      <c r="J302" s="8">
        <v>77.88</v>
      </c>
      <c r="K302" s="7">
        <v>15</v>
      </c>
      <c r="L302" s="6" t="s">
        <v>29</v>
      </c>
      <c r="M302" s="6">
        <v>1</v>
      </c>
      <c r="N302" s="8">
        <v>75.989999999999995</v>
      </c>
      <c r="O302" s="25" t="s">
        <v>34</v>
      </c>
      <c r="P302" s="14">
        <f t="shared" si="4"/>
        <v>0.68235294117647061</v>
      </c>
      <c r="Q302" s="17">
        <f>Table1[[#This Row],[Price]]-Table1[[#This Row],[Competitor Pricing]]</f>
        <v>1.8900000000000006</v>
      </c>
    </row>
    <row r="303" spans="1:17" x14ac:dyDescent="0.3">
      <c r="A303" s="21">
        <v>44565</v>
      </c>
      <c r="B303" s="9" t="s">
        <v>15</v>
      </c>
      <c r="C303" s="9" t="s">
        <v>21</v>
      </c>
      <c r="D303" s="9" t="s">
        <v>31</v>
      </c>
      <c r="E303" s="9" t="s">
        <v>18</v>
      </c>
      <c r="F303" s="10">
        <v>91</v>
      </c>
      <c r="G303" s="10">
        <v>91</v>
      </c>
      <c r="H303" s="10">
        <v>142</v>
      </c>
      <c r="I303" s="11">
        <v>82.65</v>
      </c>
      <c r="J303" s="11">
        <v>88.22</v>
      </c>
      <c r="K303" s="10">
        <v>15</v>
      </c>
      <c r="L303" s="9" t="s">
        <v>24</v>
      </c>
      <c r="M303" s="9">
        <v>1</v>
      </c>
      <c r="N303" s="11">
        <v>87.44</v>
      </c>
      <c r="O303" s="26" t="s">
        <v>20</v>
      </c>
      <c r="P303" s="14">
        <f t="shared" si="4"/>
        <v>1</v>
      </c>
      <c r="Q303" s="17">
        <f>Table1[[#This Row],[Price]]-Table1[[#This Row],[Competitor Pricing]]</f>
        <v>0.78000000000000114</v>
      </c>
    </row>
    <row r="304" spans="1:17" x14ac:dyDescent="0.3">
      <c r="A304" s="20">
        <v>44565</v>
      </c>
      <c r="B304" s="6" t="s">
        <v>15</v>
      </c>
      <c r="C304" s="6" t="s">
        <v>25</v>
      </c>
      <c r="D304" s="6" t="s">
        <v>22</v>
      </c>
      <c r="E304" s="6" t="s">
        <v>23</v>
      </c>
      <c r="F304" s="7">
        <v>184</v>
      </c>
      <c r="G304" s="7">
        <v>70</v>
      </c>
      <c r="H304" s="7">
        <v>191</v>
      </c>
      <c r="I304" s="8">
        <v>82.51</v>
      </c>
      <c r="J304" s="8">
        <v>10.55</v>
      </c>
      <c r="K304" s="7">
        <v>15</v>
      </c>
      <c r="L304" s="6" t="s">
        <v>29</v>
      </c>
      <c r="M304" s="6">
        <v>0</v>
      </c>
      <c r="N304" s="8">
        <v>7.6</v>
      </c>
      <c r="O304" s="25" t="s">
        <v>34</v>
      </c>
      <c r="P304" s="14">
        <f t="shared" si="4"/>
        <v>0.38043478260869568</v>
      </c>
      <c r="Q304" s="17">
        <f>Table1[[#This Row],[Price]]-Table1[[#This Row],[Competitor Pricing]]</f>
        <v>2.9500000000000011</v>
      </c>
    </row>
    <row r="305" spans="1:17" x14ac:dyDescent="0.3">
      <c r="A305" s="21">
        <v>44565</v>
      </c>
      <c r="B305" s="9" t="s">
        <v>15</v>
      </c>
      <c r="C305" s="9" t="s">
        <v>28</v>
      </c>
      <c r="D305" s="9" t="s">
        <v>31</v>
      </c>
      <c r="E305" s="9" t="s">
        <v>18</v>
      </c>
      <c r="F305" s="10">
        <v>209</v>
      </c>
      <c r="G305" s="10">
        <v>0</v>
      </c>
      <c r="H305" s="10">
        <v>123</v>
      </c>
      <c r="I305" s="11">
        <v>15.37</v>
      </c>
      <c r="J305" s="11">
        <v>44.81</v>
      </c>
      <c r="K305" s="10">
        <v>5</v>
      </c>
      <c r="L305" s="9" t="s">
        <v>24</v>
      </c>
      <c r="M305" s="9">
        <v>1</v>
      </c>
      <c r="N305" s="11">
        <v>45.53</v>
      </c>
      <c r="O305" s="26" t="s">
        <v>34</v>
      </c>
      <c r="P305" s="14">
        <f t="shared" si="4"/>
        <v>0</v>
      </c>
      <c r="Q305" s="17">
        <f>Table1[[#This Row],[Price]]-Table1[[#This Row],[Competitor Pricing]]</f>
        <v>-0.71999999999999886</v>
      </c>
    </row>
    <row r="306" spans="1:17" x14ac:dyDescent="0.3">
      <c r="A306" s="20">
        <v>44565</v>
      </c>
      <c r="B306" s="6" t="s">
        <v>15</v>
      </c>
      <c r="C306" s="6" t="s">
        <v>30</v>
      </c>
      <c r="D306" s="6" t="s">
        <v>31</v>
      </c>
      <c r="E306" s="6" t="s">
        <v>32</v>
      </c>
      <c r="F306" s="7">
        <v>470</v>
      </c>
      <c r="G306" s="7">
        <v>32</v>
      </c>
      <c r="H306" s="7">
        <v>192</v>
      </c>
      <c r="I306" s="8">
        <v>45.57</v>
      </c>
      <c r="J306" s="8">
        <v>69.650000000000006</v>
      </c>
      <c r="K306" s="7">
        <v>10</v>
      </c>
      <c r="L306" s="6" t="s">
        <v>44</v>
      </c>
      <c r="M306" s="6">
        <v>0</v>
      </c>
      <c r="N306" s="8">
        <v>73.5</v>
      </c>
      <c r="O306" s="25" t="s">
        <v>39</v>
      </c>
      <c r="P306" s="14">
        <f t="shared" si="4"/>
        <v>6.8085106382978725E-2</v>
      </c>
      <c r="Q306" s="17">
        <f>Table1[[#This Row],[Price]]-Table1[[#This Row],[Competitor Pricing]]</f>
        <v>-3.8499999999999943</v>
      </c>
    </row>
    <row r="307" spans="1:17" x14ac:dyDescent="0.3">
      <c r="A307" s="21">
        <v>44565</v>
      </c>
      <c r="B307" s="9" t="s">
        <v>15</v>
      </c>
      <c r="C307" s="9" t="s">
        <v>33</v>
      </c>
      <c r="D307" s="9" t="s">
        <v>38</v>
      </c>
      <c r="E307" s="9" t="s">
        <v>23</v>
      </c>
      <c r="F307" s="10">
        <v>127</v>
      </c>
      <c r="G307" s="10">
        <v>8</v>
      </c>
      <c r="H307" s="10">
        <v>84</v>
      </c>
      <c r="I307" s="11">
        <v>0.54</v>
      </c>
      <c r="J307" s="11">
        <v>53.35</v>
      </c>
      <c r="K307" s="10">
        <v>20</v>
      </c>
      <c r="L307" s="9" t="s">
        <v>29</v>
      </c>
      <c r="M307" s="9">
        <v>0</v>
      </c>
      <c r="N307" s="11">
        <v>55.07</v>
      </c>
      <c r="O307" s="26" t="s">
        <v>39</v>
      </c>
      <c r="P307" s="14">
        <f t="shared" si="4"/>
        <v>6.2992125984251968E-2</v>
      </c>
      <c r="Q307" s="17">
        <f>Table1[[#This Row],[Price]]-Table1[[#This Row],[Competitor Pricing]]</f>
        <v>-1.7199999999999989</v>
      </c>
    </row>
    <row r="308" spans="1:17" x14ac:dyDescent="0.3">
      <c r="A308" s="20">
        <v>44565</v>
      </c>
      <c r="B308" s="6" t="s">
        <v>15</v>
      </c>
      <c r="C308" s="6" t="s">
        <v>35</v>
      </c>
      <c r="D308" s="6" t="s">
        <v>17</v>
      </c>
      <c r="E308" s="6" t="s">
        <v>18</v>
      </c>
      <c r="F308" s="7">
        <v>367</v>
      </c>
      <c r="G308" s="7">
        <v>341</v>
      </c>
      <c r="H308" s="7">
        <v>39</v>
      </c>
      <c r="I308" s="8">
        <v>336.71</v>
      </c>
      <c r="J308" s="8">
        <v>33.47</v>
      </c>
      <c r="K308" s="7">
        <v>5</v>
      </c>
      <c r="L308" s="6" t="s">
        <v>29</v>
      </c>
      <c r="M308" s="6">
        <v>0</v>
      </c>
      <c r="N308" s="8">
        <v>28.95</v>
      </c>
      <c r="O308" s="25" t="s">
        <v>39</v>
      </c>
      <c r="P308" s="14">
        <f t="shared" si="4"/>
        <v>0.92915531335149859</v>
      </c>
      <c r="Q308" s="17">
        <f>Table1[[#This Row],[Price]]-Table1[[#This Row],[Competitor Pricing]]</f>
        <v>4.5199999999999996</v>
      </c>
    </row>
    <row r="309" spans="1:17" x14ac:dyDescent="0.3">
      <c r="A309" s="21">
        <v>44565</v>
      </c>
      <c r="B309" s="9" t="s">
        <v>15</v>
      </c>
      <c r="C309" s="9" t="s">
        <v>37</v>
      </c>
      <c r="D309" s="9" t="s">
        <v>31</v>
      </c>
      <c r="E309" s="9" t="s">
        <v>32</v>
      </c>
      <c r="F309" s="10">
        <v>404</v>
      </c>
      <c r="G309" s="10">
        <v>347</v>
      </c>
      <c r="H309" s="10">
        <v>183</v>
      </c>
      <c r="I309" s="11">
        <v>350.96</v>
      </c>
      <c r="J309" s="11">
        <v>61.1</v>
      </c>
      <c r="K309" s="10">
        <v>20</v>
      </c>
      <c r="L309" s="9" t="s">
        <v>24</v>
      </c>
      <c r="M309" s="9">
        <v>0</v>
      </c>
      <c r="N309" s="11">
        <v>58.46</v>
      </c>
      <c r="O309" s="26" t="s">
        <v>34</v>
      </c>
      <c r="P309" s="14">
        <f t="shared" si="4"/>
        <v>0.8589108910891089</v>
      </c>
      <c r="Q309" s="17">
        <f>Table1[[#This Row],[Price]]-Table1[[#This Row],[Competitor Pricing]]</f>
        <v>2.6400000000000006</v>
      </c>
    </row>
    <row r="310" spans="1:17" x14ac:dyDescent="0.3">
      <c r="A310" s="20">
        <v>44565</v>
      </c>
      <c r="B310" s="6" t="s">
        <v>15</v>
      </c>
      <c r="C310" s="6" t="s">
        <v>40</v>
      </c>
      <c r="D310" s="6" t="s">
        <v>17</v>
      </c>
      <c r="E310" s="6" t="s">
        <v>18</v>
      </c>
      <c r="F310" s="7">
        <v>403</v>
      </c>
      <c r="G310" s="7">
        <v>15</v>
      </c>
      <c r="H310" s="7">
        <v>187</v>
      </c>
      <c r="I310" s="8">
        <v>26.72</v>
      </c>
      <c r="J310" s="8">
        <v>45.25</v>
      </c>
      <c r="K310" s="7">
        <v>10</v>
      </c>
      <c r="L310" s="6" t="s">
        <v>24</v>
      </c>
      <c r="M310" s="6">
        <v>0</v>
      </c>
      <c r="N310" s="8">
        <v>46.74</v>
      </c>
      <c r="O310" s="25" t="s">
        <v>27</v>
      </c>
      <c r="P310" s="14">
        <f t="shared" si="4"/>
        <v>3.7220843672456573E-2</v>
      </c>
      <c r="Q310" s="17">
        <f>Table1[[#This Row],[Price]]-Table1[[#This Row],[Competitor Pricing]]</f>
        <v>-1.490000000000002</v>
      </c>
    </row>
    <row r="311" spans="1:17" x14ac:dyDescent="0.3">
      <c r="A311" s="21">
        <v>44565</v>
      </c>
      <c r="B311" s="9" t="s">
        <v>15</v>
      </c>
      <c r="C311" s="9" t="s">
        <v>41</v>
      </c>
      <c r="D311" s="9" t="s">
        <v>22</v>
      </c>
      <c r="E311" s="9" t="s">
        <v>32</v>
      </c>
      <c r="F311" s="10">
        <v>494</v>
      </c>
      <c r="G311" s="10">
        <v>85</v>
      </c>
      <c r="H311" s="10">
        <v>122</v>
      </c>
      <c r="I311" s="11">
        <v>92.86</v>
      </c>
      <c r="J311" s="11">
        <v>94.98</v>
      </c>
      <c r="K311" s="10">
        <v>20</v>
      </c>
      <c r="L311" s="9" t="s">
        <v>19</v>
      </c>
      <c r="M311" s="9">
        <v>0</v>
      </c>
      <c r="N311" s="11">
        <v>98.87</v>
      </c>
      <c r="O311" s="26" t="s">
        <v>20</v>
      </c>
      <c r="P311" s="14">
        <f t="shared" si="4"/>
        <v>0.17206477732793521</v>
      </c>
      <c r="Q311" s="17">
        <f>Table1[[#This Row],[Price]]-Table1[[#This Row],[Competitor Pricing]]</f>
        <v>-3.8900000000000006</v>
      </c>
    </row>
    <row r="312" spans="1:17" x14ac:dyDescent="0.3">
      <c r="A312" s="20">
        <v>44565</v>
      </c>
      <c r="B312" s="6" t="s">
        <v>15</v>
      </c>
      <c r="C312" s="6" t="s">
        <v>42</v>
      </c>
      <c r="D312" s="6" t="s">
        <v>22</v>
      </c>
      <c r="E312" s="6" t="s">
        <v>23</v>
      </c>
      <c r="F312" s="7">
        <v>421</v>
      </c>
      <c r="G312" s="7">
        <v>30</v>
      </c>
      <c r="H312" s="7">
        <v>33</v>
      </c>
      <c r="I312" s="8">
        <v>49.2</v>
      </c>
      <c r="J312" s="8">
        <v>24.21</v>
      </c>
      <c r="K312" s="7">
        <v>0</v>
      </c>
      <c r="L312" s="6" t="s">
        <v>24</v>
      </c>
      <c r="M312" s="6">
        <v>0</v>
      </c>
      <c r="N312" s="8">
        <v>25.48</v>
      </c>
      <c r="O312" s="25" t="s">
        <v>39</v>
      </c>
      <c r="P312" s="14">
        <f t="shared" si="4"/>
        <v>7.1258907363420429E-2</v>
      </c>
      <c r="Q312" s="17">
        <f>Table1[[#This Row],[Price]]-Table1[[#This Row],[Competitor Pricing]]</f>
        <v>-1.2699999999999996</v>
      </c>
    </row>
    <row r="313" spans="1:17" x14ac:dyDescent="0.3">
      <c r="A313" s="21">
        <v>44565</v>
      </c>
      <c r="B313" s="9" t="s">
        <v>15</v>
      </c>
      <c r="C313" s="9" t="s">
        <v>43</v>
      </c>
      <c r="D313" s="9" t="s">
        <v>31</v>
      </c>
      <c r="E313" s="9" t="s">
        <v>26</v>
      </c>
      <c r="F313" s="10">
        <v>150</v>
      </c>
      <c r="G313" s="10">
        <v>136</v>
      </c>
      <c r="H313" s="10">
        <v>129</v>
      </c>
      <c r="I313" s="11">
        <v>140.63999999999999</v>
      </c>
      <c r="J313" s="11">
        <v>66.069999999999993</v>
      </c>
      <c r="K313" s="10">
        <v>5</v>
      </c>
      <c r="L313" s="9" t="s">
        <v>44</v>
      </c>
      <c r="M313" s="9">
        <v>0</v>
      </c>
      <c r="N313" s="11">
        <v>70.84</v>
      </c>
      <c r="O313" s="26" t="s">
        <v>34</v>
      </c>
      <c r="P313" s="14">
        <f t="shared" si="4"/>
        <v>0.90666666666666662</v>
      </c>
      <c r="Q313" s="17">
        <f>Table1[[#This Row],[Price]]-Table1[[#This Row],[Competitor Pricing]]</f>
        <v>-4.7700000000000102</v>
      </c>
    </row>
    <row r="314" spans="1:17" x14ac:dyDescent="0.3">
      <c r="A314" s="20">
        <v>44565</v>
      </c>
      <c r="B314" s="6" t="s">
        <v>15</v>
      </c>
      <c r="C314" s="6" t="s">
        <v>45</v>
      </c>
      <c r="D314" s="6" t="s">
        <v>22</v>
      </c>
      <c r="E314" s="6" t="s">
        <v>18</v>
      </c>
      <c r="F314" s="7">
        <v>94</v>
      </c>
      <c r="G314" s="7">
        <v>31</v>
      </c>
      <c r="H314" s="7">
        <v>174</v>
      </c>
      <c r="I314" s="8">
        <v>46.7</v>
      </c>
      <c r="J314" s="8">
        <v>34.68</v>
      </c>
      <c r="K314" s="7">
        <v>10</v>
      </c>
      <c r="L314" s="6" t="s">
        <v>24</v>
      </c>
      <c r="M314" s="6">
        <v>0</v>
      </c>
      <c r="N314" s="8">
        <v>33.729999999999997</v>
      </c>
      <c r="O314" s="25" t="s">
        <v>34</v>
      </c>
      <c r="P314" s="14">
        <f t="shared" si="4"/>
        <v>0.32978723404255317</v>
      </c>
      <c r="Q314" s="17">
        <f>Table1[[#This Row],[Price]]-Table1[[#This Row],[Competitor Pricing]]</f>
        <v>0.95000000000000284</v>
      </c>
    </row>
    <row r="315" spans="1:17" x14ac:dyDescent="0.3">
      <c r="A315" s="21">
        <v>44565</v>
      </c>
      <c r="B315" s="9" t="s">
        <v>15</v>
      </c>
      <c r="C315" s="9" t="s">
        <v>46</v>
      </c>
      <c r="D315" s="9" t="s">
        <v>38</v>
      </c>
      <c r="E315" s="9" t="s">
        <v>32</v>
      </c>
      <c r="F315" s="10">
        <v>77</v>
      </c>
      <c r="G315" s="10">
        <v>7</v>
      </c>
      <c r="H315" s="10">
        <v>76</v>
      </c>
      <c r="I315" s="11">
        <v>22.66</v>
      </c>
      <c r="J315" s="11">
        <v>98.28</v>
      </c>
      <c r="K315" s="10">
        <v>15</v>
      </c>
      <c r="L315" s="9" t="s">
        <v>29</v>
      </c>
      <c r="M315" s="9">
        <v>1</v>
      </c>
      <c r="N315" s="11">
        <v>95.38</v>
      </c>
      <c r="O315" s="26" t="s">
        <v>39</v>
      </c>
      <c r="P315" s="14">
        <f t="shared" si="4"/>
        <v>9.0909090909090912E-2</v>
      </c>
      <c r="Q315" s="17">
        <f>Table1[[#This Row],[Price]]-Table1[[#This Row],[Competitor Pricing]]</f>
        <v>2.9000000000000057</v>
      </c>
    </row>
    <row r="316" spans="1:17" x14ac:dyDescent="0.3">
      <c r="A316" s="20">
        <v>44565</v>
      </c>
      <c r="B316" s="6" t="s">
        <v>15</v>
      </c>
      <c r="C316" s="6" t="s">
        <v>47</v>
      </c>
      <c r="D316" s="6" t="s">
        <v>31</v>
      </c>
      <c r="E316" s="6" t="s">
        <v>26</v>
      </c>
      <c r="F316" s="7">
        <v>430</v>
      </c>
      <c r="G316" s="7">
        <v>377</v>
      </c>
      <c r="H316" s="7">
        <v>118</v>
      </c>
      <c r="I316" s="8">
        <v>371.89</v>
      </c>
      <c r="J316" s="8">
        <v>87.24</v>
      </c>
      <c r="K316" s="7">
        <v>10</v>
      </c>
      <c r="L316" s="6" t="s">
        <v>29</v>
      </c>
      <c r="M316" s="6">
        <v>1</v>
      </c>
      <c r="N316" s="8">
        <v>88.66</v>
      </c>
      <c r="O316" s="25" t="s">
        <v>39</v>
      </c>
      <c r="P316" s="14">
        <f t="shared" si="4"/>
        <v>0.87674418604651161</v>
      </c>
      <c r="Q316" s="17">
        <f>Table1[[#This Row],[Price]]-Table1[[#This Row],[Competitor Pricing]]</f>
        <v>-1.4200000000000017</v>
      </c>
    </row>
    <row r="317" spans="1:17" x14ac:dyDescent="0.3">
      <c r="A317" s="21">
        <v>44565</v>
      </c>
      <c r="B317" s="9" t="s">
        <v>15</v>
      </c>
      <c r="C317" s="9" t="s">
        <v>48</v>
      </c>
      <c r="D317" s="9" t="s">
        <v>17</v>
      </c>
      <c r="E317" s="9" t="s">
        <v>18</v>
      </c>
      <c r="F317" s="10">
        <v>168</v>
      </c>
      <c r="G317" s="10">
        <v>28</v>
      </c>
      <c r="H317" s="10">
        <v>32</v>
      </c>
      <c r="I317" s="11">
        <v>33.200000000000003</v>
      </c>
      <c r="J317" s="11">
        <v>93.4</v>
      </c>
      <c r="K317" s="10">
        <v>10</v>
      </c>
      <c r="L317" s="9" t="s">
        <v>24</v>
      </c>
      <c r="M317" s="9">
        <v>0</v>
      </c>
      <c r="N317" s="11">
        <v>93.22</v>
      </c>
      <c r="O317" s="26" t="s">
        <v>27</v>
      </c>
      <c r="P317" s="14">
        <f t="shared" si="4"/>
        <v>0.16666666666666666</v>
      </c>
      <c r="Q317" s="17">
        <f>Table1[[#This Row],[Price]]-Table1[[#This Row],[Competitor Pricing]]</f>
        <v>0.18000000000000682</v>
      </c>
    </row>
    <row r="318" spans="1:17" x14ac:dyDescent="0.3">
      <c r="A318" s="20">
        <v>44565</v>
      </c>
      <c r="B318" s="6" t="s">
        <v>15</v>
      </c>
      <c r="C318" s="6" t="s">
        <v>49</v>
      </c>
      <c r="D318" s="6" t="s">
        <v>22</v>
      </c>
      <c r="E318" s="6" t="s">
        <v>26</v>
      </c>
      <c r="F318" s="7">
        <v>353</v>
      </c>
      <c r="G318" s="7">
        <v>348</v>
      </c>
      <c r="H318" s="7">
        <v>36</v>
      </c>
      <c r="I318" s="8">
        <v>349.59</v>
      </c>
      <c r="J318" s="8">
        <v>53.02</v>
      </c>
      <c r="K318" s="7">
        <v>0</v>
      </c>
      <c r="L318" s="6" t="s">
        <v>29</v>
      </c>
      <c r="M318" s="6">
        <v>1</v>
      </c>
      <c r="N318" s="8">
        <v>57.08</v>
      </c>
      <c r="O318" s="25" t="s">
        <v>20</v>
      </c>
      <c r="P318" s="14">
        <f t="shared" si="4"/>
        <v>0.98583569405099147</v>
      </c>
      <c r="Q318" s="17">
        <f>Table1[[#This Row],[Price]]-Table1[[#This Row],[Competitor Pricing]]</f>
        <v>-4.0599999999999952</v>
      </c>
    </row>
    <row r="319" spans="1:17" x14ac:dyDescent="0.3">
      <c r="A319" s="21">
        <v>44565</v>
      </c>
      <c r="B319" s="9" t="s">
        <v>15</v>
      </c>
      <c r="C319" s="9" t="s">
        <v>50</v>
      </c>
      <c r="D319" s="9" t="s">
        <v>17</v>
      </c>
      <c r="E319" s="9" t="s">
        <v>23</v>
      </c>
      <c r="F319" s="10">
        <v>380</v>
      </c>
      <c r="G319" s="10">
        <v>258</v>
      </c>
      <c r="H319" s="10">
        <v>66</v>
      </c>
      <c r="I319" s="11">
        <v>258.58</v>
      </c>
      <c r="J319" s="11">
        <v>58.54</v>
      </c>
      <c r="K319" s="10">
        <v>5</v>
      </c>
      <c r="L319" s="9" t="s">
        <v>24</v>
      </c>
      <c r="M319" s="9">
        <v>1</v>
      </c>
      <c r="N319" s="11">
        <v>60.77</v>
      </c>
      <c r="O319" s="26" t="s">
        <v>27</v>
      </c>
      <c r="P319" s="14">
        <f t="shared" si="4"/>
        <v>0.67894736842105263</v>
      </c>
      <c r="Q319" s="17">
        <f>Table1[[#This Row],[Price]]-Table1[[#This Row],[Competitor Pricing]]</f>
        <v>-2.230000000000004</v>
      </c>
    </row>
    <row r="320" spans="1:17" x14ac:dyDescent="0.3">
      <c r="A320" s="20">
        <v>44565</v>
      </c>
      <c r="B320" s="6" t="s">
        <v>15</v>
      </c>
      <c r="C320" s="6" t="s">
        <v>51</v>
      </c>
      <c r="D320" s="6" t="s">
        <v>22</v>
      </c>
      <c r="E320" s="6" t="s">
        <v>26</v>
      </c>
      <c r="F320" s="7">
        <v>127</v>
      </c>
      <c r="G320" s="7">
        <v>41</v>
      </c>
      <c r="H320" s="7">
        <v>191</v>
      </c>
      <c r="I320" s="8">
        <v>50.38</v>
      </c>
      <c r="J320" s="8">
        <v>63.29</v>
      </c>
      <c r="K320" s="7">
        <v>15</v>
      </c>
      <c r="L320" s="6" t="s">
        <v>24</v>
      </c>
      <c r="M320" s="6">
        <v>1</v>
      </c>
      <c r="N320" s="8">
        <v>61.73</v>
      </c>
      <c r="O320" s="25" t="s">
        <v>20</v>
      </c>
      <c r="P320" s="14">
        <f t="shared" si="4"/>
        <v>0.32283464566929132</v>
      </c>
      <c r="Q320" s="17">
        <f>Table1[[#This Row],[Price]]-Table1[[#This Row],[Competitor Pricing]]</f>
        <v>1.5600000000000023</v>
      </c>
    </row>
    <row r="321" spans="1:17" x14ac:dyDescent="0.3">
      <c r="A321" s="21">
        <v>44565</v>
      </c>
      <c r="B321" s="9" t="s">
        <v>15</v>
      </c>
      <c r="C321" s="9" t="s">
        <v>52</v>
      </c>
      <c r="D321" s="9" t="s">
        <v>31</v>
      </c>
      <c r="E321" s="9" t="s">
        <v>18</v>
      </c>
      <c r="F321" s="10">
        <v>153</v>
      </c>
      <c r="G321" s="10">
        <v>49</v>
      </c>
      <c r="H321" s="10">
        <v>139</v>
      </c>
      <c r="I321" s="11">
        <v>44.55</v>
      </c>
      <c r="J321" s="11">
        <v>10.93</v>
      </c>
      <c r="K321" s="10">
        <v>0</v>
      </c>
      <c r="L321" s="9" t="s">
        <v>44</v>
      </c>
      <c r="M321" s="9">
        <v>1</v>
      </c>
      <c r="N321" s="11">
        <v>10.76</v>
      </c>
      <c r="O321" s="26" t="s">
        <v>34</v>
      </c>
      <c r="P321" s="14">
        <f t="shared" si="4"/>
        <v>0.3202614379084967</v>
      </c>
      <c r="Q321" s="17">
        <f>Table1[[#This Row],[Price]]-Table1[[#This Row],[Competitor Pricing]]</f>
        <v>0.16999999999999993</v>
      </c>
    </row>
    <row r="322" spans="1:17" x14ac:dyDescent="0.3">
      <c r="A322" s="20">
        <v>44565</v>
      </c>
      <c r="B322" s="6" t="s">
        <v>53</v>
      </c>
      <c r="C322" s="6" t="s">
        <v>16</v>
      </c>
      <c r="D322" s="6" t="s">
        <v>38</v>
      </c>
      <c r="E322" s="6" t="s">
        <v>18</v>
      </c>
      <c r="F322" s="7">
        <v>108</v>
      </c>
      <c r="G322" s="7">
        <v>83</v>
      </c>
      <c r="H322" s="7">
        <v>25</v>
      </c>
      <c r="I322" s="8">
        <v>85.5</v>
      </c>
      <c r="J322" s="8">
        <v>45.49</v>
      </c>
      <c r="K322" s="7">
        <v>5</v>
      </c>
      <c r="L322" s="6" t="s">
        <v>24</v>
      </c>
      <c r="M322" s="6">
        <v>1</v>
      </c>
      <c r="N322" s="8">
        <v>44.33</v>
      </c>
      <c r="O322" s="25" t="s">
        <v>39</v>
      </c>
      <c r="P322" s="14">
        <f t="shared" si="4"/>
        <v>0.76851851851851849</v>
      </c>
      <c r="Q322" s="17">
        <f>Table1[[#This Row],[Price]]-Table1[[#This Row],[Competitor Pricing]]</f>
        <v>1.1600000000000037</v>
      </c>
    </row>
    <row r="323" spans="1:17" x14ac:dyDescent="0.3">
      <c r="A323" s="21">
        <v>44565</v>
      </c>
      <c r="B323" s="9" t="s">
        <v>53</v>
      </c>
      <c r="C323" s="9" t="s">
        <v>21</v>
      </c>
      <c r="D323" s="9" t="s">
        <v>36</v>
      </c>
      <c r="E323" s="9" t="s">
        <v>26</v>
      </c>
      <c r="F323" s="10">
        <v>109</v>
      </c>
      <c r="G323" s="10">
        <v>60</v>
      </c>
      <c r="H323" s="10">
        <v>172</v>
      </c>
      <c r="I323" s="11">
        <v>71.47</v>
      </c>
      <c r="J323" s="11">
        <v>52.33</v>
      </c>
      <c r="K323" s="10">
        <v>10</v>
      </c>
      <c r="L323" s="9" t="s">
        <v>29</v>
      </c>
      <c r="M323" s="9">
        <v>1</v>
      </c>
      <c r="N323" s="11">
        <v>51.78</v>
      </c>
      <c r="O323" s="26" t="s">
        <v>27</v>
      </c>
      <c r="P323" s="14">
        <f t="shared" ref="P323:P386" si="5">G323/F323</f>
        <v>0.55045871559633031</v>
      </c>
      <c r="Q323" s="17">
        <f>Table1[[#This Row],[Price]]-Table1[[#This Row],[Competitor Pricing]]</f>
        <v>0.54999999999999716</v>
      </c>
    </row>
    <row r="324" spans="1:17" x14ac:dyDescent="0.3">
      <c r="A324" s="20">
        <v>44565</v>
      </c>
      <c r="B324" s="6" t="s">
        <v>53</v>
      </c>
      <c r="C324" s="6" t="s">
        <v>25</v>
      </c>
      <c r="D324" s="6" t="s">
        <v>22</v>
      </c>
      <c r="E324" s="6" t="s">
        <v>18</v>
      </c>
      <c r="F324" s="7">
        <v>493</v>
      </c>
      <c r="G324" s="7">
        <v>448</v>
      </c>
      <c r="H324" s="7">
        <v>113</v>
      </c>
      <c r="I324" s="8">
        <v>459.44</v>
      </c>
      <c r="J324" s="8">
        <v>41.55</v>
      </c>
      <c r="K324" s="7">
        <v>15</v>
      </c>
      <c r="L324" s="6" t="s">
        <v>19</v>
      </c>
      <c r="M324" s="6">
        <v>0</v>
      </c>
      <c r="N324" s="8">
        <v>44.02</v>
      </c>
      <c r="O324" s="25" t="s">
        <v>34</v>
      </c>
      <c r="P324" s="14">
        <f t="shared" si="5"/>
        <v>0.90872210953346855</v>
      </c>
      <c r="Q324" s="17">
        <f>Table1[[#This Row],[Price]]-Table1[[#This Row],[Competitor Pricing]]</f>
        <v>-2.470000000000006</v>
      </c>
    </row>
    <row r="325" spans="1:17" x14ac:dyDescent="0.3">
      <c r="A325" s="21">
        <v>44565</v>
      </c>
      <c r="B325" s="9" t="s">
        <v>53</v>
      </c>
      <c r="C325" s="9" t="s">
        <v>28</v>
      </c>
      <c r="D325" s="9" t="s">
        <v>22</v>
      </c>
      <c r="E325" s="9" t="s">
        <v>32</v>
      </c>
      <c r="F325" s="10">
        <v>289</v>
      </c>
      <c r="G325" s="10">
        <v>11</v>
      </c>
      <c r="H325" s="10">
        <v>21</v>
      </c>
      <c r="I325" s="11">
        <v>26.96</v>
      </c>
      <c r="J325" s="11">
        <v>58.13</v>
      </c>
      <c r="K325" s="10">
        <v>0</v>
      </c>
      <c r="L325" s="9" t="s">
        <v>24</v>
      </c>
      <c r="M325" s="9">
        <v>1</v>
      </c>
      <c r="N325" s="11">
        <v>61.63</v>
      </c>
      <c r="O325" s="26" t="s">
        <v>27</v>
      </c>
      <c r="P325" s="14">
        <f t="shared" si="5"/>
        <v>3.8062283737024222E-2</v>
      </c>
      <c r="Q325" s="17">
        <f>Table1[[#This Row],[Price]]-Table1[[#This Row],[Competitor Pricing]]</f>
        <v>-3.5</v>
      </c>
    </row>
    <row r="326" spans="1:17" x14ac:dyDescent="0.3">
      <c r="A326" s="20">
        <v>44565</v>
      </c>
      <c r="B326" s="6" t="s">
        <v>53</v>
      </c>
      <c r="C326" s="6" t="s">
        <v>30</v>
      </c>
      <c r="D326" s="6" t="s">
        <v>17</v>
      </c>
      <c r="E326" s="6" t="s">
        <v>32</v>
      </c>
      <c r="F326" s="7">
        <v>425</v>
      </c>
      <c r="G326" s="7">
        <v>390</v>
      </c>
      <c r="H326" s="7">
        <v>175</v>
      </c>
      <c r="I326" s="8">
        <v>407.4</v>
      </c>
      <c r="J326" s="8">
        <v>25.67</v>
      </c>
      <c r="K326" s="7">
        <v>10</v>
      </c>
      <c r="L326" s="6" t="s">
        <v>44</v>
      </c>
      <c r="M326" s="6">
        <v>0</v>
      </c>
      <c r="N326" s="8">
        <v>23.55</v>
      </c>
      <c r="O326" s="25" t="s">
        <v>39</v>
      </c>
      <c r="P326" s="14">
        <f t="shared" si="5"/>
        <v>0.91764705882352937</v>
      </c>
      <c r="Q326" s="17">
        <f>Table1[[#This Row],[Price]]-Table1[[#This Row],[Competitor Pricing]]</f>
        <v>2.120000000000001</v>
      </c>
    </row>
    <row r="327" spans="1:17" x14ac:dyDescent="0.3">
      <c r="A327" s="21">
        <v>44565</v>
      </c>
      <c r="B327" s="9" t="s">
        <v>53</v>
      </c>
      <c r="C327" s="9" t="s">
        <v>33</v>
      </c>
      <c r="D327" s="9" t="s">
        <v>38</v>
      </c>
      <c r="E327" s="9" t="s">
        <v>26</v>
      </c>
      <c r="F327" s="10">
        <v>118</v>
      </c>
      <c r="G327" s="10">
        <v>81</v>
      </c>
      <c r="H327" s="10">
        <v>139</v>
      </c>
      <c r="I327" s="11">
        <v>88.67</v>
      </c>
      <c r="J327" s="11">
        <v>33.96</v>
      </c>
      <c r="K327" s="10">
        <v>0</v>
      </c>
      <c r="L327" s="9" t="s">
        <v>24</v>
      </c>
      <c r="M327" s="9">
        <v>0</v>
      </c>
      <c r="N327" s="11">
        <v>29.22</v>
      </c>
      <c r="O327" s="26" t="s">
        <v>27</v>
      </c>
      <c r="P327" s="14">
        <f t="shared" si="5"/>
        <v>0.68644067796610164</v>
      </c>
      <c r="Q327" s="17">
        <f>Table1[[#This Row],[Price]]-Table1[[#This Row],[Competitor Pricing]]</f>
        <v>4.740000000000002</v>
      </c>
    </row>
    <row r="328" spans="1:17" x14ac:dyDescent="0.3">
      <c r="A328" s="20">
        <v>44565</v>
      </c>
      <c r="B328" s="6" t="s">
        <v>53</v>
      </c>
      <c r="C328" s="6" t="s">
        <v>35</v>
      </c>
      <c r="D328" s="6" t="s">
        <v>31</v>
      </c>
      <c r="E328" s="6" t="s">
        <v>18</v>
      </c>
      <c r="F328" s="7">
        <v>449</v>
      </c>
      <c r="G328" s="7">
        <v>121</v>
      </c>
      <c r="H328" s="7">
        <v>118</v>
      </c>
      <c r="I328" s="8">
        <v>132.54</v>
      </c>
      <c r="J328" s="8">
        <v>81.349999999999994</v>
      </c>
      <c r="K328" s="7">
        <v>20</v>
      </c>
      <c r="L328" s="6" t="s">
        <v>29</v>
      </c>
      <c r="M328" s="6">
        <v>0</v>
      </c>
      <c r="N328" s="8">
        <v>82.18</v>
      </c>
      <c r="O328" s="25" t="s">
        <v>39</v>
      </c>
      <c r="P328" s="14">
        <f t="shared" si="5"/>
        <v>0.26948775055679286</v>
      </c>
      <c r="Q328" s="17">
        <f>Table1[[#This Row],[Price]]-Table1[[#This Row],[Competitor Pricing]]</f>
        <v>-0.83000000000001251</v>
      </c>
    </row>
    <row r="329" spans="1:17" x14ac:dyDescent="0.3">
      <c r="A329" s="21">
        <v>44565</v>
      </c>
      <c r="B329" s="9" t="s">
        <v>53</v>
      </c>
      <c r="C329" s="9" t="s">
        <v>37</v>
      </c>
      <c r="D329" s="9" t="s">
        <v>17</v>
      </c>
      <c r="E329" s="9" t="s">
        <v>26</v>
      </c>
      <c r="F329" s="10">
        <v>184</v>
      </c>
      <c r="G329" s="10">
        <v>44</v>
      </c>
      <c r="H329" s="10">
        <v>152</v>
      </c>
      <c r="I329" s="11">
        <v>52.26</v>
      </c>
      <c r="J329" s="11">
        <v>57.34</v>
      </c>
      <c r="K329" s="10">
        <v>20</v>
      </c>
      <c r="L329" s="9" t="s">
        <v>19</v>
      </c>
      <c r="M329" s="9">
        <v>0</v>
      </c>
      <c r="N329" s="11">
        <v>56.99</v>
      </c>
      <c r="O329" s="26" t="s">
        <v>39</v>
      </c>
      <c r="P329" s="14">
        <f t="shared" si="5"/>
        <v>0.2391304347826087</v>
      </c>
      <c r="Q329" s="17">
        <f>Table1[[#This Row],[Price]]-Table1[[#This Row],[Competitor Pricing]]</f>
        <v>0.35000000000000142</v>
      </c>
    </row>
    <row r="330" spans="1:17" x14ac:dyDescent="0.3">
      <c r="A330" s="20">
        <v>44565</v>
      </c>
      <c r="B330" s="6" t="s">
        <v>53</v>
      </c>
      <c r="C330" s="6" t="s">
        <v>40</v>
      </c>
      <c r="D330" s="6" t="s">
        <v>22</v>
      </c>
      <c r="E330" s="6" t="s">
        <v>32</v>
      </c>
      <c r="F330" s="7">
        <v>239</v>
      </c>
      <c r="G330" s="7">
        <v>88</v>
      </c>
      <c r="H330" s="7">
        <v>31</v>
      </c>
      <c r="I330" s="8">
        <v>104.13</v>
      </c>
      <c r="J330" s="8">
        <v>50.36</v>
      </c>
      <c r="K330" s="7">
        <v>15</v>
      </c>
      <c r="L330" s="6" t="s">
        <v>29</v>
      </c>
      <c r="M330" s="6">
        <v>0</v>
      </c>
      <c r="N330" s="8">
        <v>47.77</v>
      </c>
      <c r="O330" s="25" t="s">
        <v>34</v>
      </c>
      <c r="P330" s="14">
        <f t="shared" si="5"/>
        <v>0.3682008368200837</v>
      </c>
      <c r="Q330" s="17">
        <f>Table1[[#This Row],[Price]]-Table1[[#This Row],[Competitor Pricing]]</f>
        <v>2.5899999999999963</v>
      </c>
    </row>
    <row r="331" spans="1:17" x14ac:dyDescent="0.3">
      <c r="A331" s="21">
        <v>44565</v>
      </c>
      <c r="B331" s="9" t="s">
        <v>53</v>
      </c>
      <c r="C331" s="9" t="s">
        <v>41</v>
      </c>
      <c r="D331" s="9" t="s">
        <v>17</v>
      </c>
      <c r="E331" s="9" t="s">
        <v>26</v>
      </c>
      <c r="F331" s="10">
        <v>216</v>
      </c>
      <c r="G331" s="10">
        <v>142</v>
      </c>
      <c r="H331" s="10">
        <v>172</v>
      </c>
      <c r="I331" s="11">
        <v>138.75</v>
      </c>
      <c r="J331" s="11">
        <v>51.34</v>
      </c>
      <c r="K331" s="10">
        <v>15</v>
      </c>
      <c r="L331" s="9" t="s">
        <v>19</v>
      </c>
      <c r="M331" s="9">
        <v>1</v>
      </c>
      <c r="N331" s="11">
        <v>53.35</v>
      </c>
      <c r="O331" s="26" t="s">
        <v>20</v>
      </c>
      <c r="P331" s="14">
        <f t="shared" si="5"/>
        <v>0.65740740740740744</v>
      </c>
      <c r="Q331" s="17">
        <f>Table1[[#This Row],[Price]]-Table1[[#This Row],[Competitor Pricing]]</f>
        <v>-2.009999999999998</v>
      </c>
    </row>
    <row r="332" spans="1:17" x14ac:dyDescent="0.3">
      <c r="A332" s="20">
        <v>44565</v>
      </c>
      <c r="B332" s="6" t="s">
        <v>53</v>
      </c>
      <c r="C332" s="6" t="s">
        <v>42</v>
      </c>
      <c r="D332" s="6" t="s">
        <v>22</v>
      </c>
      <c r="E332" s="6" t="s">
        <v>18</v>
      </c>
      <c r="F332" s="7">
        <v>291</v>
      </c>
      <c r="G332" s="7">
        <v>48</v>
      </c>
      <c r="H332" s="7">
        <v>69</v>
      </c>
      <c r="I332" s="8">
        <v>48.65</v>
      </c>
      <c r="J332" s="8">
        <v>13.09</v>
      </c>
      <c r="K332" s="7">
        <v>20</v>
      </c>
      <c r="L332" s="6" t="s">
        <v>44</v>
      </c>
      <c r="M332" s="6">
        <v>1</v>
      </c>
      <c r="N332" s="8">
        <v>11.98</v>
      </c>
      <c r="O332" s="25" t="s">
        <v>27</v>
      </c>
      <c r="P332" s="14">
        <f t="shared" si="5"/>
        <v>0.16494845360824742</v>
      </c>
      <c r="Q332" s="17">
        <f>Table1[[#This Row],[Price]]-Table1[[#This Row],[Competitor Pricing]]</f>
        <v>1.1099999999999994</v>
      </c>
    </row>
    <row r="333" spans="1:17" x14ac:dyDescent="0.3">
      <c r="A333" s="21">
        <v>44565</v>
      </c>
      <c r="B333" s="9" t="s">
        <v>53</v>
      </c>
      <c r="C333" s="9" t="s">
        <v>43</v>
      </c>
      <c r="D333" s="9" t="s">
        <v>31</v>
      </c>
      <c r="E333" s="9" t="s">
        <v>18</v>
      </c>
      <c r="F333" s="10">
        <v>74</v>
      </c>
      <c r="G333" s="10">
        <v>61</v>
      </c>
      <c r="H333" s="10">
        <v>87</v>
      </c>
      <c r="I333" s="11">
        <v>67.72</v>
      </c>
      <c r="J333" s="11">
        <v>94.85</v>
      </c>
      <c r="K333" s="10">
        <v>0</v>
      </c>
      <c r="L333" s="9" t="s">
        <v>29</v>
      </c>
      <c r="M333" s="9">
        <v>0</v>
      </c>
      <c r="N333" s="11">
        <v>93.92</v>
      </c>
      <c r="O333" s="26" t="s">
        <v>34</v>
      </c>
      <c r="P333" s="14">
        <f t="shared" si="5"/>
        <v>0.82432432432432434</v>
      </c>
      <c r="Q333" s="17">
        <f>Table1[[#This Row],[Price]]-Table1[[#This Row],[Competitor Pricing]]</f>
        <v>0.92999999999999261</v>
      </c>
    </row>
    <row r="334" spans="1:17" x14ac:dyDescent="0.3">
      <c r="A334" s="20">
        <v>44565</v>
      </c>
      <c r="B334" s="6" t="s">
        <v>53</v>
      </c>
      <c r="C334" s="6" t="s">
        <v>45</v>
      </c>
      <c r="D334" s="6" t="s">
        <v>31</v>
      </c>
      <c r="E334" s="6" t="s">
        <v>32</v>
      </c>
      <c r="F334" s="7">
        <v>429</v>
      </c>
      <c r="G334" s="7">
        <v>140</v>
      </c>
      <c r="H334" s="7">
        <v>180</v>
      </c>
      <c r="I334" s="8">
        <v>151.22</v>
      </c>
      <c r="J334" s="8">
        <v>16.47</v>
      </c>
      <c r="K334" s="7">
        <v>5</v>
      </c>
      <c r="L334" s="6" t="s">
        <v>24</v>
      </c>
      <c r="M334" s="6">
        <v>0</v>
      </c>
      <c r="N334" s="8">
        <v>17.47</v>
      </c>
      <c r="O334" s="25" t="s">
        <v>27</v>
      </c>
      <c r="P334" s="14">
        <f t="shared" si="5"/>
        <v>0.32634032634032634</v>
      </c>
      <c r="Q334" s="17">
        <f>Table1[[#This Row],[Price]]-Table1[[#This Row],[Competitor Pricing]]</f>
        <v>-1</v>
      </c>
    </row>
    <row r="335" spans="1:17" x14ac:dyDescent="0.3">
      <c r="A335" s="21">
        <v>44565</v>
      </c>
      <c r="B335" s="9" t="s">
        <v>53</v>
      </c>
      <c r="C335" s="9" t="s">
        <v>46</v>
      </c>
      <c r="D335" s="9" t="s">
        <v>22</v>
      </c>
      <c r="E335" s="9" t="s">
        <v>26</v>
      </c>
      <c r="F335" s="10">
        <v>467</v>
      </c>
      <c r="G335" s="10">
        <v>390</v>
      </c>
      <c r="H335" s="10">
        <v>188</v>
      </c>
      <c r="I335" s="11">
        <v>408.18</v>
      </c>
      <c r="J335" s="11">
        <v>82.15</v>
      </c>
      <c r="K335" s="10">
        <v>15</v>
      </c>
      <c r="L335" s="9" t="s">
        <v>29</v>
      </c>
      <c r="M335" s="9">
        <v>1</v>
      </c>
      <c r="N335" s="11">
        <v>79.63</v>
      </c>
      <c r="O335" s="26" t="s">
        <v>27</v>
      </c>
      <c r="P335" s="14">
        <f t="shared" si="5"/>
        <v>0.83511777301927193</v>
      </c>
      <c r="Q335" s="17">
        <f>Table1[[#This Row],[Price]]-Table1[[#This Row],[Competitor Pricing]]</f>
        <v>2.5200000000000102</v>
      </c>
    </row>
    <row r="336" spans="1:17" x14ac:dyDescent="0.3">
      <c r="A336" s="20">
        <v>44565</v>
      </c>
      <c r="B336" s="6" t="s">
        <v>53</v>
      </c>
      <c r="C336" s="6" t="s">
        <v>47</v>
      </c>
      <c r="D336" s="6" t="s">
        <v>22</v>
      </c>
      <c r="E336" s="6" t="s">
        <v>18</v>
      </c>
      <c r="F336" s="7">
        <v>121</v>
      </c>
      <c r="G336" s="7">
        <v>91</v>
      </c>
      <c r="H336" s="7">
        <v>197</v>
      </c>
      <c r="I336" s="8">
        <v>93.99</v>
      </c>
      <c r="J336" s="8">
        <v>61.13</v>
      </c>
      <c r="K336" s="7">
        <v>5</v>
      </c>
      <c r="L336" s="6" t="s">
        <v>19</v>
      </c>
      <c r="M336" s="6">
        <v>0</v>
      </c>
      <c r="N336" s="8">
        <v>62.56</v>
      </c>
      <c r="O336" s="25" t="s">
        <v>27</v>
      </c>
      <c r="P336" s="14">
        <f t="shared" si="5"/>
        <v>0.75206611570247939</v>
      </c>
      <c r="Q336" s="17">
        <f>Table1[[#This Row],[Price]]-Table1[[#This Row],[Competitor Pricing]]</f>
        <v>-1.4299999999999997</v>
      </c>
    </row>
    <row r="337" spans="1:17" x14ac:dyDescent="0.3">
      <c r="A337" s="21">
        <v>44565</v>
      </c>
      <c r="B337" s="9" t="s">
        <v>53</v>
      </c>
      <c r="C337" s="9" t="s">
        <v>48</v>
      </c>
      <c r="D337" s="9" t="s">
        <v>17</v>
      </c>
      <c r="E337" s="9" t="s">
        <v>32</v>
      </c>
      <c r="F337" s="10">
        <v>134</v>
      </c>
      <c r="G337" s="10">
        <v>32</v>
      </c>
      <c r="H337" s="10">
        <v>107</v>
      </c>
      <c r="I337" s="11">
        <v>32.03</v>
      </c>
      <c r="J337" s="11">
        <v>63.74</v>
      </c>
      <c r="K337" s="10">
        <v>10</v>
      </c>
      <c r="L337" s="9" t="s">
        <v>44</v>
      </c>
      <c r="M337" s="9">
        <v>0</v>
      </c>
      <c r="N337" s="11">
        <v>61.83</v>
      </c>
      <c r="O337" s="26" t="s">
        <v>34</v>
      </c>
      <c r="P337" s="14">
        <f t="shared" si="5"/>
        <v>0.23880597014925373</v>
      </c>
      <c r="Q337" s="17">
        <f>Table1[[#This Row],[Price]]-Table1[[#This Row],[Competitor Pricing]]</f>
        <v>1.9100000000000037</v>
      </c>
    </row>
    <row r="338" spans="1:17" x14ac:dyDescent="0.3">
      <c r="A338" s="20">
        <v>44565</v>
      </c>
      <c r="B338" s="6" t="s">
        <v>53</v>
      </c>
      <c r="C338" s="6" t="s">
        <v>49</v>
      </c>
      <c r="D338" s="6" t="s">
        <v>31</v>
      </c>
      <c r="E338" s="6" t="s">
        <v>32</v>
      </c>
      <c r="F338" s="7">
        <v>152</v>
      </c>
      <c r="G338" s="7">
        <v>60</v>
      </c>
      <c r="H338" s="7">
        <v>92</v>
      </c>
      <c r="I338" s="8">
        <v>54.96</v>
      </c>
      <c r="J338" s="8">
        <v>66.78</v>
      </c>
      <c r="K338" s="7">
        <v>10</v>
      </c>
      <c r="L338" s="6" t="s">
        <v>44</v>
      </c>
      <c r="M338" s="6">
        <v>1</v>
      </c>
      <c r="N338" s="8">
        <v>67.89</v>
      </c>
      <c r="O338" s="25" t="s">
        <v>34</v>
      </c>
      <c r="P338" s="14">
        <f t="shared" si="5"/>
        <v>0.39473684210526316</v>
      </c>
      <c r="Q338" s="17">
        <f>Table1[[#This Row],[Price]]-Table1[[#This Row],[Competitor Pricing]]</f>
        <v>-1.1099999999999994</v>
      </c>
    </row>
    <row r="339" spans="1:17" x14ac:dyDescent="0.3">
      <c r="A339" s="21">
        <v>44565</v>
      </c>
      <c r="B339" s="9" t="s">
        <v>53</v>
      </c>
      <c r="C339" s="9" t="s">
        <v>50</v>
      </c>
      <c r="D339" s="9" t="s">
        <v>38</v>
      </c>
      <c r="E339" s="9" t="s">
        <v>23</v>
      </c>
      <c r="F339" s="10">
        <v>236</v>
      </c>
      <c r="G339" s="10">
        <v>206</v>
      </c>
      <c r="H339" s="10">
        <v>63</v>
      </c>
      <c r="I339" s="11">
        <v>220.44</v>
      </c>
      <c r="J339" s="11">
        <v>30.12</v>
      </c>
      <c r="K339" s="10">
        <v>15</v>
      </c>
      <c r="L339" s="9" t="s">
        <v>24</v>
      </c>
      <c r="M339" s="9">
        <v>1</v>
      </c>
      <c r="N339" s="11">
        <v>27.89</v>
      </c>
      <c r="O339" s="26" t="s">
        <v>34</v>
      </c>
      <c r="P339" s="14">
        <f t="shared" si="5"/>
        <v>0.8728813559322034</v>
      </c>
      <c r="Q339" s="17">
        <f>Table1[[#This Row],[Price]]-Table1[[#This Row],[Competitor Pricing]]</f>
        <v>2.2300000000000004</v>
      </c>
    </row>
    <row r="340" spans="1:17" x14ac:dyDescent="0.3">
      <c r="A340" s="20">
        <v>44565</v>
      </c>
      <c r="B340" s="6" t="s">
        <v>53</v>
      </c>
      <c r="C340" s="6" t="s">
        <v>51</v>
      </c>
      <c r="D340" s="6" t="s">
        <v>17</v>
      </c>
      <c r="E340" s="6" t="s">
        <v>26</v>
      </c>
      <c r="F340" s="7">
        <v>253</v>
      </c>
      <c r="G340" s="7">
        <v>108</v>
      </c>
      <c r="H340" s="7">
        <v>36</v>
      </c>
      <c r="I340" s="8">
        <v>107.84</v>
      </c>
      <c r="J340" s="8">
        <v>31.26</v>
      </c>
      <c r="K340" s="7">
        <v>10</v>
      </c>
      <c r="L340" s="6" t="s">
        <v>24</v>
      </c>
      <c r="M340" s="6">
        <v>1</v>
      </c>
      <c r="N340" s="8">
        <v>33.520000000000003</v>
      </c>
      <c r="O340" s="25" t="s">
        <v>27</v>
      </c>
      <c r="P340" s="14">
        <f t="shared" si="5"/>
        <v>0.4268774703557312</v>
      </c>
      <c r="Q340" s="17">
        <f>Table1[[#This Row],[Price]]-Table1[[#This Row],[Competitor Pricing]]</f>
        <v>-2.2600000000000016</v>
      </c>
    </row>
    <row r="341" spans="1:17" x14ac:dyDescent="0.3">
      <c r="A341" s="21">
        <v>44565</v>
      </c>
      <c r="B341" s="9" t="s">
        <v>53</v>
      </c>
      <c r="C341" s="9" t="s">
        <v>52</v>
      </c>
      <c r="D341" s="9" t="s">
        <v>36</v>
      </c>
      <c r="E341" s="9" t="s">
        <v>32</v>
      </c>
      <c r="F341" s="10">
        <v>403</v>
      </c>
      <c r="G341" s="10">
        <v>349</v>
      </c>
      <c r="H341" s="10">
        <v>42</v>
      </c>
      <c r="I341" s="11">
        <v>340.49</v>
      </c>
      <c r="J341" s="11">
        <v>21.47</v>
      </c>
      <c r="K341" s="10">
        <v>0</v>
      </c>
      <c r="L341" s="9" t="s">
        <v>19</v>
      </c>
      <c r="M341" s="9">
        <v>0</v>
      </c>
      <c r="N341" s="11">
        <v>17.22</v>
      </c>
      <c r="O341" s="26" t="s">
        <v>34</v>
      </c>
      <c r="P341" s="14">
        <f t="shared" si="5"/>
        <v>0.86600496277915628</v>
      </c>
      <c r="Q341" s="17">
        <f>Table1[[#This Row],[Price]]-Table1[[#This Row],[Competitor Pricing]]</f>
        <v>4.25</v>
      </c>
    </row>
    <row r="342" spans="1:17" x14ac:dyDescent="0.3">
      <c r="A342" s="20">
        <v>44565</v>
      </c>
      <c r="B342" s="6" t="s">
        <v>54</v>
      </c>
      <c r="C342" s="6" t="s">
        <v>16</v>
      </c>
      <c r="D342" s="6" t="s">
        <v>36</v>
      </c>
      <c r="E342" s="6" t="s">
        <v>23</v>
      </c>
      <c r="F342" s="7">
        <v>335</v>
      </c>
      <c r="G342" s="7">
        <v>271</v>
      </c>
      <c r="H342" s="7">
        <v>147</v>
      </c>
      <c r="I342" s="8">
        <v>276.13</v>
      </c>
      <c r="J342" s="8">
        <v>81.010000000000005</v>
      </c>
      <c r="K342" s="7">
        <v>20</v>
      </c>
      <c r="L342" s="6" t="s">
        <v>19</v>
      </c>
      <c r="M342" s="6">
        <v>0</v>
      </c>
      <c r="N342" s="8">
        <v>83.63</v>
      </c>
      <c r="O342" s="25" t="s">
        <v>27</v>
      </c>
      <c r="P342" s="14">
        <f t="shared" si="5"/>
        <v>0.80895522388059704</v>
      </c>
      <c r="Q342" s="17">
        <f>Table1[[#This Row],[Price]]-Table1[[#This Row],[Competitor Pricing]]</f>
        <v>-2.6199999999999903</v>
      </c>
    </row>
    <row r="343" spans="1:17" x14ac:dyDescent="0.3">
      <c r="A343" s="21">
        <v>44565</v>
      </c>
      <c r="B343" s="9" t="s">
        <v>54</v>
      </c>
      <c r="C343" s="9" t="s">
        <v>21</v>
      </c>
      <c r="D343" s="9" t="s">
        <v>31</v>
      </c>
      <c r="E343" s="9" t="s">
        <v>23</v>
      </c>
      <c r="F343" s="10">
        <v>293</v>
      </c>
      <c r="G343" s="10">
        <v>202</v>
      </c>
      <c r="H343" s="10">
        <v>130</v>
      </c>
      <c r="I343" s="11">
        <v>215.12</v>
      </c>
      <c r="J343" s="11">
        <v>59.97</v>
      </c>
      <c r="K343" s="10">
        <v>5</v>
      </c>
      <c r="L343" s="9" t="s">
        <v>44</v>
      </c>
      <c r="M343" s="9">
        <v>1</v>
      </c>
      <c r="N343" s="11">
        <v>61.76</v>
      </c>
      <c r="O343" s="26" t="s">
        <v>39</v>
      </c>
      <c r="P343" s="14">
        <f t="shared" si="5"/>
        <v>0.68941979522184305</v>
      </c>
      <c r="Q343" s="17">
        <f>Table1[[#This Row],[Price]]-Table1[[#This Row],[Competitor Pricing]]</f>
        <v>-1.7899999999999991</v>
      </c>
    </row>
    <row r="344" spans="1:17" x14ac:dyDescent="0.3">
      <c r="A344" s="20">
        <v>44565</v>
      </c>
      <c r="B344" s="6" t="s">
        <v>54</v>
      </c>
      <c r="C344" s="6" t="s">
        <v>25</v>
      </c>
      <c r="D344" s="6" t="s">
        <v>22</v>
      </c>
      <c r="E344" s="6" t="s">
        <v>18</v>
      </c>
      <c r="F344" s="7">
        <v>169</v>
      </c>
      <c r="G344" s="7">
        <v>34</v>
      </c>
      <c r="H344" s="7">
        <v>91</v>
      </c>
      <c r="I344" s="8">
        <v>24.17</v>
      </c>
      <c r="J344" s="8">
        <v>26.87</v>
      </c>
      <c r="K344" s="7">
        <v>10</v>
      </c>
      <c r="L344" s="6" t="s">
        <v>44</v>
      </c>
      <c r="M344" s="6">
        <v>0</v>
      </c>
      <c r="N344" s="8">
        <v>30.53</v>
      </c>
      <c r="O344" s="25" t="s">
        <v>27</v>
      </c>
      <c r="P344" s="14">
        <f t="shared" si="5"/>
        <v>0.20118343195266272</v>
      </c>
      <c r="Q344" s="17">
        <f>Table1[[#This Row],[Price]]-Table1[[#This Row],[Competitor Pricing]]</f>
        <v>-3.66</v>
      </c>
    </row>
    <row r="345" spans="1:17" x14ac:dyDescent="0.3">
      <c r="A345" s="21">
        <v>44565</v>
      </c>
      <c r="B345" s="9" t="s">
        <v>54</v>
      </c>
      <c r="C345" s="9" t="s">
        <v>28</v>
      </c>
      <c r="D345" s="9" t="s">
        <v>38</v>
      </c>
      <c r="E345" s="9" t="s">
        <v>26</v>
      </c>
      <c r="F345" s="10">
        <v>294</v>
      </c>
      <c r="G345" s="10">
        <v>165</v>
      </c>
      <c r="H345" s="10">
        <v>43</v>
      </c>
      <c r="I345" s="11">
        <v>164.1</v>
      </c>
      <c r="J345" s="11">
        <v>99.12</v>
      </c>
      <c r="K345" s="10">
        <v>10</v>
      </c>
      <c r="L345" s="9" t="s">
        <v>19</v>
      </c>
      <c r="M345" s="9">
        <v>0</v>
      </c>
      <c r="N345" s="11">
        <v>97.69</v>
      </c>
      <c r="O345" s="26" t="s">
        <v>27</v>
      </c>
      <c r="P345" s="14">
        <f t="shared" si="5"/>
        <v>0.56122448979591832</v>
      </c>
      <c r="Q345" s="17">
        <f>Table1[[#This Row],[Price]]-Table1[[#This Row],[Competitor Pricing]]</f>
        <v>1.4300000000000068</v>
      </c>
    </row>
    <row r="346" spans="1:17" x14ac:dyDescent="0.3">
      <c r="A346" s="20">
        <v>44565</v>
      </c>
      <c r="B346" s="6" t="s">
        <v>54</v>
      </c>
      <c r="C346" s="6" t="s">
        <v>30</v>
      </c>
      <c r="D346" s="6" t="s">
        <v>17</v>
      </c>
      <c r="E346" s="6" t="s">
        <v>18</v>
      </c>
      <c r="F346" s="7">
        <v>69</v>
      </c>
      <c r="G346" s="7">
        <v>2</v>
      </c>
      <c r="H346" s="7">
        <v>161</v>
      </c>
      <c r="I346" s="8">
        <v>21.27</v>
      </c>
      <c r="J346" s="8">
        <v>24.29</v>
      </c>
      <c r="K346" s="7">
        <v>5</v>
      </c>
      <c r="L346" s="6" t="s">
        <v>19</v>
      </c>
      <c r="M346" s="6">
        <v>0</v>
      </c>
      <c r="N346" s="8">
        <v>25.5</v>
      </c>
      <c r="O346" s="25" t="s">
        <v>27</v>
      </c>
      <c r="P346" s="14">
        <f t="shared" si="5"/>
        <v>2.8985507246376812E-2</v>
      </c>
      <c r="Q346" s="17">
        <f>Table1[[#This Row],[Price]]-Table1[[#This Row],[Competitor Pricing]]</f>
        <v>-1.2100000000000009</v>
      </c>
    </row>
    <row r="347" spans="1:17" x14ac:dyDescent="0.3">
      <c r="A347" s="21">
        <v>44565</v>
      </c>
      <c r="B347" s="9" t="s">
        <v>54</v>
      </c>
      <c r="C347" s="9" t="s">
        <v>33</v>
      </c>
      <c r="D347" s="9" t="s">
        <v>31</v>
      </c>
      <c r="E347" s="9" t="s">
        <v>32</v>
      </c>
      <c r="F347" s="10">
        <v>328</v>
      </c>
      <c r="G347" s="10">
        <v>308</v>
      </c>
      <c r="H347" s="10">
        <v>113</v>
      </c>
      <c r="I347" s="11">
        <v>323.67</v>
      </c>
      <c r="J347" s="11">
        <v>18.48</v>
      </c>
      <c r="K347" s="10">
        <v>0</v>
      </c>
      <c r="L347" s="9" t="s">
        <v>19</v>
      </c>
      <c r="M347" s="9">
        <v>1</v>
      </c>
      <c r="N347" s="11">
        <v>17.760000000000002</v>
      </c>
      <c r="O347" s="26" t="s">
        <v>20</v>
      </c>
      <c r="P347" s="14">
        <f t="shared" si="5"/>
        <v>0.93902439024390238</v>
      </c>
      <c r="Q347" s="17">
        <f>Table1[[#This Row],[Price]]-Table1[[#This Row],[Competitor Pricing]]</f>
        <v>0.71999999999999886</v>
      </c>
    </row>
    <row r="348" spans="1:17" x14ac:dyDescent="0.3">
      <c r="A348" s="20">
        <v>44565</v>
      </c>
      <c r="B348" s="6" t="s">
        <v>54</v>
      </c>
      <c r="C348" s="6" t="s">
        <v>35</v>
      </c>
      <c r="D348" s="6" t="s">
        <v>22</v>
      </c>
      <c r="E348" s="6" t="s">
        <v>18</v>
      </c>
      <c r="F348" s="7">
        <v>173</v>
      </c>
      <c r="G348" s="7">
        <v>76</v>
      </c>
      <c r="H348" s="7">
        <v>157</v>
      </c>
      <c r="I348" s="8">
        <v>75.540000000000006</v>
      </c>
      <c r="J348" s="8">
        <v>54.73</v>
      </c>
      <c r="K348" s="7">
        <v>10</v>
      </c>
      <c r="L348" s="6" t="s">
        <v>44</v>
      </c>
      <c r="M348" s="6">
        <v>1</v>
      </c>
      <c r="N348" s="8">
        <v>52.32</v>
      </c>
      <c r="O348" s="25" t="s">
        <v>39</v>
      </c>
      <c r="P348" s="14">
        <f t="shared" si="5"/>
        <v>0.43930635838150289</v>
      </c>
      <c r="Q348" s="17">
        <f>Table1[[#This Row],[Price]]-Table1[[#This Row],[Competitor Pricing]]</f>
        <v>2.4099999999999966</v>
      </c>
    </row>
    <row r="349" spans="1:17" x14ac:dyDescent="0.3">
      <c r="A349" s="21">
        <v>44565</v>
      </c>
      <c r="B349" s="9" t="s">
        <v>54</v>
      </c>
      <c r="C349" s="9" t="s">
        <v>37</v>
      </c>
      <c r="D349" s="9" t="s">
        <v>22</v>
      </c>
      <c r="E349" s="9" t="s">
        <v>32</v>
      </c>
      <c r="F349" s="10">
        <v>108</v>
      </c>
      <c r="G349" s="10">
        <v>91</v>
      </c>
      <c r="H349" s="10">
        <v>129</v>
      </c>
      <c r="I349" s="11">
        <v>95.55</v>
      </c>
      <c r="J349" s="11">
        <v>59.61</v>
      </c>
      <c r="K349" s="10">
        <v>5</v>
      </c>
      <c r="L349" s="9" t="s">
        <v>19</v>
      </c>
      <c r="M349" s="9">
        <v>1</v>
      </c>
      <c r="N349" s="11">
        <v>57.85</v>
      </c>
      <c r="O349" s="26" t="s">
        <v>27</v>
      </c>
      <c r="P349" s="14">
        <f t="shared" si="5"/>
        <v>0.84259259259259256</v>
      </c>
      <c r="Q349" s="17">
        <f>Table1[[#This Row],[Price]]-Table1[[#This Row],[Competitor Pricing]]</f>
        <v>1.759999999999998</v>
      </c>
    </row>
    <row r="350" spans="1:17" x14ac:dyDescent="0.3">
      <c r="A350" s="20">
        <v>44565</v>
      </c>
      <c r="B350" s="6" t="s">
        <v>54</v>
      </c>
      <c r="C350" s="6" t="s">
        <v>40</v>
      </c>
      <c r="D350" s="6" t="s">
        <v>36</v>
      </c>
      <c r="E350" s="6" t="s">
        <v>26</v>
      </c>
      <c r="F350" s="7">
        <v>494</v>
      </c>
      <c r="G350" s="7">
        <v>113</v>
      </c>
      <c r="H350" s="7">
        <v>84</v>
      </c>
      <c r="I350" s="8">
        <v>121.8</v>
      </c>
      <c r="J350" s="8">
        <v>14.64</v>
      </c>
      <c r="K350" s="7">
        <v>20</v>
      </c>
      <c r="L350" s="6" t="s">
        <v>29</v>
      </c>
      <c r="M350" s="6">
        <v>1</v>
      </c>
      <c r="N350" s="8">
        <v>12.8</v>
      </c>
      <c r="O350" s="25" t="s">
        <v>39</v>
      </c>
      <c r="P350" s="14">
        <f t="shared" si="5"/>
        <v>0.22874493927125505</v>
      </c>
      <c r="Q350" s="17">
        <f>Table1[[#This Row],[Price]]-Table1[[#This Row],[Competitor Pricing]]</f>
        <v>1.8399999999999999</v>
      </c>
    </row>
    <row r="351" spans="1:17" x14ac:dyDescent="0.3">
      <c r="A351" s="21">
        <v>44565</v>
      </c>
      <c r="B351" s="9" t="s">
        <v>54</v>
      </c>
      <c r="C351" s="9" t="s">
        <v>41</v>
      </c>
      <c r="D351" s="9" t="s">
        <v>31</v>
      </c>
      <c r="E351" s="9" t="s">
        <v>32</v>
      </c>
      <c r="F351" s="10">
        <v>366</v>
      </c>
      <c r="G351" s="10">
        <v>274</v>
      </c>
      <c r="H351" s="10">
        <v>102</v>
      </c>
      <c r="I351" s="11">
        <v>268.60000000000002</v>
      </c>
      <c r="J351" s="11">
        <v>63.63</v>
      </c>
      <c r="K351" s="10">
        <v>15</v>
      </c>
      <c r="L351" s="9" t="s">
        <v>29</v>
      </c>
      <c r="M351" s="9">
        <v>1</v>
      </c>
      <c r="N351" s="11">
        <v>62.96</v>
      </c>
      <c r="O351" s="26" t="s">
        <v>34</v>
      </c>
      <c r="P351" s="14">
        <f t="shared" si="5"/>
        <v>0.74863387978142082</v>
      </c>
      <c r="Q351" s="17">
        <f>Table1[[#This Row],[Price]]-Table1[[#This Row],[Competitor Pricing]]</f>
        <v>0.67000000000000171</v>
      </c>
    </row>
    <row r="352" spans="1:17" x14ac:dyDescent="0.3">
      <c r="A352" s="20">
        <v>44565</v>
      </c>
      <c r="B352" s="6" t="s">
        <v>54</v>
      </c>
      <c r="C352" s="6" t="s">
        <v>42</v>
      </c>
      <c r="D352" s="6" t="s">
        <v>22</v>
      </c>
      <c r="E352" s="6" t="s">
        <v>32</v>
      </c>
      <c r="F352" s="7">
        <v>441</v>
      </c>
      <c r="G352" s="7">
        <v>116</v>
      </c>
      <c r="H352" s="7">
        <v>52</v>
      </c>
      <c r="I352" s="8">
        <v>128.01</v>
      </c>
      <c r="J352" s="8">
        <v>95.99</v>
      </c>
      <c r="K352" s="7">
        <v>10</v>
      </c>
      <c r="L352" s="6" t="s">
        <v>24</v>
      </c>
      <c r="M352" s="6">
        <v>0</v>
      </c>
      <c r="N352" s="8">
        <v>95.78</v>
      </c>
      <c r="O352" s="25" t="s">
        <v>20</v>
      </c>
      <c r="P352" s="14">
        <f t="shared" si="5"/>
        <v>0.26303854875283444</v>
      </c>
      <c r="Q352" s="17">
        <f>Table1[[#This Row],[Price]]-Table1[[#This Row],[Competitor Pricing]]</f>
        <v>0.20999999999999375</v>
      </c>
    </row>
    <row r="353" spans="1:17" x14ac:dyDescent="0.3">
      <c r="A353" s="21">
        <v>44565</v>
      </c>
      <c r="B353" s="9" t="s">
        <v>54</v>
      </c>
      <c r="C353" s="9" t="s">
        <v>43</v>
      </c>
      <c r="D353" s="9" t="s">
        <v>31</v>
      </c>
      <c r="E353" s="9" t="s">
        <v>18</v>
      </c>
      <c r="F353" s="10">
        <v>181</v>
      </c>
      <c r="G353" s="10">
        <v>5</v>
      </c>
      <c r="H353" s="10">
        <v>37</v>
      </c>
      <c r="I353" s="11">
        <v>18.13</v>
      </c>
      <c r="J353" s="11">
        <v>75.41</v>
      </c>
      <c r="K353" s="10">
        <v>5</v>
      </c>
      <c r="L353" s="9" t="s">
        <v>19</v>
      </c>
      <c r="M353" s="9">
        <v>1</v>
      </c>
      <c r="N353" s="11">
        <v>75.03</v>
      </c>
      <c r="O353" s="26" t="s">
        <v>27</v>
      </c>
      <c r="P353" s="14">
        <f t="shared" si="5"/>
        <v>2.7624309392265192E-2</v>
      </c>
      <c r="Q353" s="17">
        <f>Table1[[#This Row],[Price]]-Table1[[#This Row],[Competitor Pricing]]</f>
        <v>0.37999999999999545</v>
      </c>
    </row>
    <row r="354" spans="1:17" x14ac:dyDescent="0.3">
      <c r="A354" s="20">
        <v>44565</v>
      </c>
      <c r="B354" s="6" t="s">
        <v>54</v>
      </c>
      <c r="C354" s="6" t="s">
        <v>45</v>
      </c>
      <c r="D354" s="6" t="s">
        <v>36</v>
      </c>
      <c r="E354" s="6" t="s">
        <v>32</v>
      </c>
      <c r="F354" s="7">
        <v>330</v>
      </c>
      <c r="G354" s="7">
        <v>115</v>
      </c>
      <c r="H354" s="7">
        <v>116</v>
      </c>
      <c r="I354" s="8">
        <v>111.27</v>
      </c>
      <c r="J354" s="8">
        <v>24.19</v>
      </c>
      <c r="K354" s="7">
        <v>15</v>
      </c>
      <c r="L354" s="6" t="s">
        <v>19</v>
      </c>
      <c r="M354" s="6">
        <v>1</v>
      </c>
      <c r="N354" s="8">
        <v>28.03</v>
      </c>
      <c r="O354" s="25" t="s">
        <v>20</v>
      </c>
      <c r="P354" s="14">
        <f t="shared" si="5"/>
        <v>0.34848484848484851</v>
      </c>
      <c r="Q354" s="17">
        <f>Table1[[#This Row],[Price]]-Table1[[#This Row],[Competitor Pricing]]</f>
        <v>-3.84</v>
      </c>
    </row>
    <row r="355" spans="1:17" x14ac:dyDescent="0.3">
      <c r="A355" s="21">
        <v>44565</v>
      </c>
      <c r="B355" s="9" t="s">
        <v>54</v>
      </c>
      <c r="C355" s="9" t="s">
        <v>46</v>
      </c>
      <c r="D355" s="9" t="s">
        <v>38</v>
      </c>
      <c r="E355" s="9" t="s">
        <v>32</v>
      </c>
      <c r="F355" s="10">
        <v>228</v>
      </c>
      <c r="G355" s="10">
        <v>79</v>
      </c>
      <c r="H355" s="10">
        <v>158</v>
      </c>
      <c r="I355" s="11">
        <v>75.88</v>
      </c>
      <c r="J355" s="11">
        <v>85.33</v>
      </c>
      <c r="K355" s="10">
        <v>0</v>
      </c>
      <c r="L355" s="9" t="s">
        <v>24</v>
      </c>
      <c r="M355" s="9">
        <v>1</v>
      </c>
      <c r="N355" s="11">
        <v>82.64</v>
      </c>
      <c r="O355" s="26" t="s">
        <v>39</v>
      </c>
      <c r="P355" s="14">
        <f t="shared" si="5"/>
        <v>0.34649122807017546</v>
      </c>
      <c r="Q355" s="17">
        <f>Table1[[#This Row],[Price]]-Table1[[#This Row],[Competitor Pricing]]</f>
        <v>2.6899999999999977</v>
      </c>
    </row>
    <row r="356" spans="1:17" x14ac:dyDescent="0.3">
      <c r="A356" s="20">
        <v>44565</v>
      </c>
      <c r="B356" s="6" t="s">
        <v>54</v>
      </c>
      <c r="C356" s="6" t="s">
        <v>47</v>
      </c>
      <c r="D356" s="6" t="s">
        <v>31</v>
      </c>
      <c r="E356" s="6" t="s">
        <v>32</v>
      </c>
      <c r="F356" s="7">
        <v>344</v>
      </c>
      <c r="G356" s="7">
        <v>223</v>
      </c>
      <c r="H356" s="7">
        <v>53</v>
      </c>
      <c r="I356" s="8">
        <v>235.42</v>
      </c>
      <c r="J356" s="8">
        <v>15.58</v>
      </c>
      <c r="K356" s="7">
        <v>15</v>
      </c>
      <c r="L356" s="6" t="s">
        <v>29</v>
      </c>
      <c r="M356" s="6">
        <v>0</v>
      </c>
      <c r="N356" s="8">
        <v>19.75</v>
      </c>
      <c r="O356" s="25" t="s">
        <v>34</v>
      </c>
      <c r="P356" s="14">
        <f t="shared" si="5"/>
        <v>0.64825581395348841</v>
      </c>
      <c r="Q356" s="17">
        <f>Table1[[#This Row],[Price]]-Table1[[#This Row],[Competitor Pricing]]</f>
        <v>-4.17</v>
      </c>
    </row>
    <row r="357" spans="1:17" x14ac:dyDescent="0.3">
      <c r="A357" s="21">
        <v>44565</v>
      </c>
      <c r="B357" s="9" t="s">
        <v>54</v>
      </c>
      <c r="C357" s="9" t="s">
        <v>48</v>
      </c>
      <c r="D357" s="9" t="s">
        <v>36</v>
      </c>
      <c r="E357" s="9" t="s">
        <v>26</v>
      </c>
      <c r="F357" s="10">
        <v>336</v>
      </c>
      <c r="G357" s="10">
        <v>258</v>
      </c>
      <c r="H357" s="10">
        <v>175</v>
      </c>
      <c r="I357" s="11">
        <v>260.26</v>
      </c>
      <c r="J357" s="11">
        <v>19.63</v>
      </c>
      <c r="K357" s="10">
        <v>10</v>
      </c>
      <c r="L357" s="9" t="s">
        <v>29</v>
      </c>
      <c r="M357" s="9">
        <v>1</v>
      </c>
      <c r="N357" s="11">
        <v>20.65</v>
      </c>
      <c r="O357" s="26" t="s">
        <v>27</v>
      </c>
      <c r="P357" s="14">
        <f t="shared" si="5"/>
        <v>0.7678571428571429</v>
      </c>
      <c r="Q357" s="17">
        <f>Table1[[#This Row],[Price]]-Table1[[#This Row],[Competitor Pricing]]</f>
        <v>-1.0199999999999996</v>
      </c>
    </row>
    <row r="358" spans="1:17" x14ac:dyDescent="0.3">
      <c r="A358" s="20">
        <v>44565</v>
      </c>
      <c r="B358" s="6" t="s">
        <v>54</v>
      </c>
      <c r="C358" s="6" t="s">
        <v>49</v>
      </c>
      <c r="D358" s="6" t="s">
        <v>22</v>
      </c>
      <c r="E358" s="6" t="s">
        <v>26</v>
      </c>
      <c r="F358" s="7">
        <v>355</v>
      </c>
      <c r="G358" s="7">
        <v>236</v>
      </c>
      <c r="H358" s="7">
        <v>26</v>
      </c>
      <c r="I358" s="8">
        <v>248.1</v>
      </c>
      <c r="J358" s="8">
        <v>53.81</v>
      </c>
      <c r="K358" s="7">
        <v>0</v>
      </c>
      <c r="L358" s="6" t="s">
        <v>19</v>
      </c>
      <c r="M358" s="6">
        <v>0</v>
      </c>
      <c r="N358" s="8">
        <v>49.72</v>
      </c>
      <c r="O358" s="25" t="s">
        <v>34</v>
      </c>
      <c r="P358" s="14">
        <f t="shared" si="5"/>
        <v>0.6647887323943662</v>
      </c>
      <c r="Q358" s="17">
        <f>Table1[[#This Row],[Price]]-Table1[[#This Row],[Competitor Pricing]]</f>
        <v>4.0900000000000034</v>
      </c>
    </row>
    <row r="359" spans="1:17" x14ac:dyDescent="0.3">
      <c r="A359" s="21">
        <v>44565</v>
      </c>
      <c r="B359" s="9" t="s">
        <v>54</v>
      </c>
      <c r="C359" s="9" t="s">
        <v>50</v>
      </c>
      <c r="D359" s="9" t="s">
        <v>22</v>
      </c>
      <c r="E359" s="9" t="s">
        <v>18</v>
      </c>
      <c r="F359" s="10">
        <v>431</v>
      </c>
      <c r="G359" s="10">
        <v>309</v>
      </c>
      <c r="H359" s="10">
        <v>165</v>
      </c>
      <c r="I359" s="11">
        <v>323.61</v>
      </c>
      <c r="J359" s="11">
        <v>37.49</v>
      </c>
      <c r="K359" s="10">
        <v>20</v>
      </c>
      <c r="L359" s="9" t="s">
        <v>29</v>
      </c>
      <c r="M359" s="9">
        <v>0</v>
      </c>
      <c r="N359" s="11">
        <v>40.659999999999997</v>
      </c>
      <c r="O359" s="26" t="s">
        <v>20</v>
      </c>
      <c r="P359" s="14">
        <f t="shared" si="5"/>
        <v>0.71693735498839906</v>
      </c>
      <c r="Q359" s="17">
        <f>Table1[[#This Row],[Price]]-Table1[[#This Row],[Competitor Pricing]]</f>
        <v>-3.1699999999999946</v>
      </c>
    </row>
    <row r="360" spans="1:17" x14ac:dyDescent="0.3">
      <c r="A360" s="20">
        <v>44565</v>
      </c>
      <c r="B360" s="6" t="s">
        <v>54</v>
      </c>
      <c r="C360" s="6" t="s">
        <v>51</v>
      </c>
      <c r="D360" s="6" t="s">
        <v>17</v>
      </c>
      <c r="E360" s="6" t="s">
        <v>18</v>
      </c>
      <c r="F360" s="7">
        <v>172</v>
      </c>
      <c r="G360" s="7">
        <v>32</v>
      </c>
      <c r="H360" s="7">
        <v>160</v>
      </c>
      <c r="I360" s="8">
        <v>26.96</v>
      </c>
      <c r="J360" s="8">
        <v>38.200000000000003</v>
      </c>
      <c r="K360" s="7">
        <v>0</v>
      </c>
      <c r="L360" s="6" t="s">
        <v>19</v>
      </c>
      <c r="M360" s="6">
        <v>0</v>
      </c>
      <c r="N360" s="8">
        <v>38.42</v>
      </c>
      <c r="O360" s="25" t="s">
        <v>27</v>
      </c>
      <c r="P360" s="14">
        <f t="shared" si="5"/>
        <v>0.18604651162790697</v>
      </c>
      <c r="Q360" s="17">
        <f>Table1[[#This Row],[Price]]-Table1[[#This Row],[Competitor Pricing]]</f>
        <v>-0.21999999999999886</v>
      </c>
    </row>
    <row r="361" spans="1:17" x14ac:dyDescent="0.3">
      <c r="A361" s="21">
        <v>44565</v>
      </c>
      <c r="B361" s="9" t="s">
        <v>54</v>
      </c>
      <c r="C361" s="9" t="s">
        <v>52</v>
      </c>
      <c r="D361" s="9" t="s">
        <v>38</v>
      </c>
      <c r="E361" s="9" t="s">
        <v>23</v>
      </c>
      <c r="F361" s="10">
        <v>145</v>
      </c>
      <c r="G361" s="10">
        <v>44</v>
      </c>
      <c r="H361" s="10">
        <v>122</v>
      </c>
      <c r="I361" s="11">
        <v>43.44</v>
      </c>
      <c r="J361" s="11">
        <v>84.13</v>
      </c>
      <c r="K361" s="10">
        <v>15</v>
      </c>
      <c r="L361" s="9" t="s">
        <v>44</v>
      </c>
      <c r="M361" s="9">
        <v>1</v>
      </c>
      <c r="N361" s="11">
        <v>84.05</v>
      </c>
      <c r="O361" s="26" t="s">
        <v>34</v>
      </c>
      <c r="P361" s="14">
        <f t="shared" si="5"/>
        <v>0.30344827586206896</v>
      </c>
      <c r="Q361" s="17">
        <f>Table1[[#This Row],[Price]]-Table1[[#This Row],[Competitor Pricing]]</f>
        <v>7.9999999999998295E-2</v>
      </c>
    </row>
    <row r="362" spans="1:17" x14ac:dyDescent="0.3">
      <c r="A362" s="20">
        <v>44565</v>
      </c>
      <c r="B362" s="6" t="s">
        <v>55</v>
      </c>
      <c r="C362" s="6" t="s">
        <v>16</v>
      </c>
      <c r="D362" s="6" t="s">
        <v>36</v>
      </c>
      <c r="E362" s="6" t="s">
        <v>23</v>
      </c>
      <c r="F362" s="7">
        <v>487</v>
      </c>
      <c r="G362" s="7">
        <v>145</v>
      </c>
      <c r="H362" s="7">
        <v>149</v>
      </c>
      <c r="I362" s="8">
        <v>154.43</v>
      </c>
      <c r="J362" s="8">
        <v>20.39</v>
      </c>
      <c r="K362" s="7">
        <v>15</v>
      </c>
      <c r="L362" s="6" t="s">
        <v>24</v>
      </c>
      <c r="M362" s="6">
        <v>0</v>
      </c>
      <c r="N362" s="8">
        <v>21.17</v>
      </c>
      <c r="O362" s="25" t="s">
        <v>27</v>
      </c>
      <c r="P362" s="14">
        <f t="shared" si="5"/>
        <v>0.29774127310061604</v>
      </c>
      <c r="Q362" s="17">
        <f>Table1[[#This Row],[Price]]-Table1[[#This Row],[Competitor Pricing]]</f>
        <v>-0.78000000000000114</v>
      </c>
    </row>
    <row r="363" spans="1:17" x14ac:dyDescent="0.3">
      <c r="A363" s="21">
        <v>44565</v>
      </c>
      <c r="B363" s="9" t="s">
        <v>55</v>
      </c>
      <c r="C363" s="9" t="s">
        <v>21</v>
      </c>
      <c r="D363" s="9" t="s">
        <v>17</v>
      </c>
      <c r="E363" s="9" t="s">
        <v>18</v>
      </c>
      <c r="F363" s="10">
        <v>216</v>
      </c>
      <c r="G363" s="10">
        <v>150</v>
      </c>
      <c r="H363" s="10">
        <v>162</v>
      </c>
      <c r="I363" s="11">
        <v>141.65</v>
      </c>
      <c r="J363" s="11">
        <v>70.459999999999994</v>
      </c>
      <c r="K363" s="10">
        <v>20</v>
      </c>
      <c r="L363" s="9" t="s">
        <v>24</v>
      </c>
      <c r="M363" s="9">
        <v>1</v>
      </c>
      <c r="N363" s="11">
        <v>66.42</v>
      </c>
      <c r="O363" s="26" t="s">
        <v>27</v>
      </c>
      <c r="P363" s="14">
        <f t="shared" si="5"/>
        <v>0.69444444444444442</v>
      </c>
      <c r="Q363" s="17">
        <f>Table1[[#This Row],[Price]]-Table1[[#This Row],[Competitor Pricing]]</f>
        <v>4.039999999999992</v>
      </c>
    </row>
    <row r="364" spans="1:17" x14ac:dyDescent="0.3">
      <c r="A364" s="20">
        <v>44565</v>
      </c>
      <c r="B364" s="6" t="s">
        <v>55</v>
      </c>
      <c r="C364" s="6" t="s">
        <v>25</v>
      </c>
      <c r="D364" s="6" t="s">
        <v>22</v>
      </c>
      <c r="E364" s="6" t="s">
        <v>26</v>
      </c>
      <c r="F364" s="7">
        <v>236</v>
      </c>
      <c r="G364" s="7">
        <v>40</v>
      </c>
      <c r="H364" s="7">
        <v>104</v>
      </c>
      <c r="I364" s="8">
        <v>36.090000000000003</v>
      </c>
      <c r="J364" s="8">
        <v>53.13</v>
      </c>
      <c r="K364" s="7">
        <v>5</v>
      </c>
      <c r="L364" s="6" t="s">
        <v>44</v>
      </c>
      <c r="M364" s="6">
        <v>1</v>
      </c>
      <c r="N364" s="8">
        <v>48.66</v>
      </c>
      <c r="O364" s="25" t="s">
        <v>39</v>
      </c>
      <c r="P364" s="14">
        <f t="shared" si="5"/>
        <v>0.16949152542372881</v>
      </c>
      <c r="Q364" s="17">
        <f>Table1[[#This Row],[Price]]-Table1[[#This Row],[Competitor Pricing]]</f>
        <v>4.470000000000006</v>
      </c>
    </row>
    <row r="365" spans="1:17" x14ac:dyDescent="0.3">
      <c r="A365" s="21">
        <v>44565</v>
      </c>
      <c r="B365" s="9" t="s">
        <v>55</v>
      </c>
      <c r="C365" s="9" t="s">
        <v>28</v>
      </c>
      <c r="D365" s="9" t="s">
        <v>22</v>
      </c>
      <c r="E365" s="9" t="s">
        <v>26</v>
      </c>
      <c r="F365" s="10">
        <v>260</v>
      </c>
      <c r="G365" s="10">
        <v>245</v>
      </c>
      <c r="H365" s="10">
        <v>199</v>
      </c>
      <c r="I365" s="11">
        <v>256.94</v>
      </c>
      <c r="J365" s="11">
        <v>82</v>
      </c>
      <c r="K365" s="10">
        <v>10</v>
      </c>
      <c r="L365" s="9" t="s">
        <v>24</v>
      </c>
      <c r="M365" s="9">
        <v>1</v>
      </c>
      <c r="N365" s="11">
        <v>81.290000000000006</v>
      </c>
      <c r="O365" s="26" t="s">
        <v>34</v>
      </c>
      <c r="P365" s="14">
        <f t="shared" si="5"/>
        <v>0.94230769230769229</v>
      </c>
      <c r="Q365" s="17">
        <f>Table1[[#This Row],[Price]]-Table1[[#This Row],[Competitor Pricing]]</f>
        <v>0.70999999999999375</v>
      </c>
    </row>
    <row r="366" spans="1:17" x14ac:dyDescent="0.3">
      <c r="A366" s="20">
        <v>44565</v>
      </c>
      <c r="B366" s="6" t="s">
        <v>55</v>
      </c>
      <c r="C366" s="6" t="s">
        <v>30</v>
      </c>
      <c r="D366" s="6" t="s">
        <v>36</v>
      </c>
      <c r="E366" s="6" t="s">
        <v>18</v>
      </c>
      <c r="F366" s="7">
        <v>435</v>
      </c>
      <c r="G366" s="7">
        <v>241</v>
      </c>
      <c r="H366" s="7">
        <v>160</v>
      </c>
      <c r="I366" s="8">
        <v>255.72</v>
      </c>
      <c r="J366" s="8">
        <v>75.55</v>
      </c>
      <c r="K366" s="7">
        <v>15</v>
      </c>
      <c r="L366" s="6" t="s">
        <v>44</v>
      </c>
      <c r="M366" s="6">
        <v>0</v>
      </c>
      <c r="N366" s="8">
        <v>75.67</v>
      </c>
      <c r="O366" s="25" t="s">
        <v>20</v>
      </c>
      <c r="P366" s="14">
        <f t="shared" si="5"/>
        <v>0.55402298850574716</v>
      </c>
      <c r="Q366" s="17">
        <f>Table1[[#This Row],[Price]]-Table1[[#This Row],[Competitor Pricing]]</f>
        <v>-0.12000000000000455</v>
      </c>
    </row>
    <row r="367" spans="1:17" x14ac:dyDescent="0.3">
      <c r="A367" s="21">
        <v>44565</v>
      </c>
      <c r="B367" s="9" t="s">
        <v>55</v>
      </c>
      <c r="C367" s="9" t="s">
        <v>33</v>
      </c>
      <c r="D367" s="9" t="s">
        <v>17</v>
      </c>
      <c r="E367" s="9" t="s">
        <v>23</v>
      </c>
      <c r="F367" s="10">
        <v>499</v>
      </c>
      <c r="G367" s="10">
        <v>138</v>
      </c>
      <c r="H367" s="10">
        <v>175</v>
      </c>
      <c r="I367" s="11">
        <v>128.04</v>
      </c>
      <c r="J367" s="11">
        <v>50.26</v>
      </c>
      <c r="K367" s="10">
        <v>0</v>
      </c>
      <c r="L367" s="9" t="s">
        <v>29</v>
      </c>
      <c r="M367" s="9">
        <v>1</v>
      </c>
      <c r="N367" s="11">
        <v>47.5</v>
      </c>
      <c r="O367" s="26" t="s">
        <v>20</v>
      </c>
      <c r="P367" s="14">
        <f t="shared" si="5"/>
        <v>0.27655310621242485</v>
      </c>
      <c r="Q367" s="17">
        <f>Table1[[#This Row],[Price]]-Table1[[#This Row],[Competitor Pricing]]</f>
        <v>2.759999999999998</v>
      </c>
    </row>
    <row r="368" spans="1:17" x14ac:dyDescent="0.3">
      <c r="A368" s="20">
        <v>44565</v>
      </c>
      <c r="B368" s="6" t="s">
        <v>55</v>
      </c>
      <c r="C368" s="6" t="s">
        <v>35</v>
      </c>
      <c r="D368" s="6" t="s">
        <v>38</v>
      </c>
      <c r="E368" s="6" t="s">
        <v>32</v>
      </c>
      <c r="F368" s="7">
        <v>180</v>
      </c>
      <c r="G368" s="7">
        <v>152</v>
      </c>
      <c r="H368" s="7">
        <v>102</v>
      </c>
      <c r="I368" s="8">
        <v>157.24</v>
      </c>
      <c r="J368" s="8">
        <v>56.58</v>
      </c>
      <c r="K368" s="7">
        <v>5</v>
      </c>
      <c r="L368" s="6" t="s">
        <v>29</v>
      </c>
      <c r="M368" s="6">
        <v>1</v>
      </c>
      <c r="N368" s="8">
        <v>52.57</v>
      </c>
      <c r="O368" s="25" t="s">
        <v>20</v>
      </c>
      <c r="P368" s="14">
        <f t="shared" si="5"/>
        <v>0.84444444444444444</v>
      </c>
      <c r="Q368" s="17">
        <f>Table1[[#This Row],[Price]]-Table1[[#This Row],[Competitor Pricing]]</f>
        <v>4.009999999999998</v>
      </c>
    </row>
    <row r="369" spans="1:17" x14ac:dyDescent="0.3">
      <c r="A369" s="21">
        <v>44565</v>
      </c>
      <c r="B369" s="9" t="s">
        <v>55</v>
      </c>
      <c r="C369" s="9" t="s">
        <v>37</v>
      </c>
      <c r="D369" s="9" t="s">
        <v>36</v>
      </c>
      <c r="E369" s="9" t="s">
        <v>26</v>
      </c>
      <c r="F369" s="10">
        <v>128</v>
      </c>
      <c r="G369" s="10">
        <v>12</v>
      </c>
      <c r="H369" s="10">
        <v>85</v>
      </c>
      <c r="I369" s="11">
        <v>16.36</v>
      </c>
      <c r="J369" s="11">
        <v>37.17</v>
      </c>
      <c r="K369" s="10">
        <v>10</v>
      </c>
      <c r="L369" s="9" t="s">
        <v>19</v>
      </c>
      <c r="M369" s="9">
        <v>1</v>
      </c>
      <c r="N369" s="11">
        <v>32.409999999999997</v>
      </c>
      <c r="O369" s="26" t="s">
        <v>34</v>
      </c>
      <c r="P369" s="14">
        <f t="shared" si="5"/>
        <v>9.375E-2</v>
      </c>
      <c r="Q369" s="17">
        <f>Table1[[#This Row],[Price]]-Table1[[#This Row],[Competitor Pricing]]</f>
        <v>4.7600000000000051</v>
      </c>
    </row>
    <row r="370" spans="1:17" x14ac:dyDescent="0.3">
      <c r="A370" s="20">
        <v>44565</v>
      </c>
      <c r="B370" s="6" t="s">
        <v>55</v>
      </c>
      <c r="C370" s="6" t="s">
        <v>40</v>
      </c>
      <c r="D370" s="6" t="s">
        <v>36</v>
      </c>
      <c r="E370" s="6" t="s">
        <v>23</v>
      </c>
      <c r="F370" s="7">
        <v>291</v>
      </c>
      <c r="G370" s="7">
        <v>158</v>
      </c>
      <c r="H370" s="7">
        <v>35</v>
      </c>
      <c r="I370" s="8">
        <v>158.22999999999999</v>
      </c>
      <c r="J370" s="8">
        <v>82.75</v>
      </c>
      <c r="K370" s="7">
        <v>20</v>
      </c>
      <c r="L370" s="6" t="s">
        <v>24</v>
      </c>
      <c r="M370" s="6">
        <v>1</v>
      </c>
      <c r="N370" s="8">
        <v>83.85</v>
      </c>
      <c r="O370" s="25" t="s">
        <v>34</v>
      </c>
      <c r="P370" s="14">
        <f t="shared" si="5"/>
        <v>0.54295532646048106</v>
      </c>
      <c r="Q370" s="17">
        <f>Table1[[#This Row],[Price]]-Table1[[#This Row],[Competitor Pricing]]</f>
        <v>-1.0999999999999943</v>
      </c>
    </row>
    <row r="371" spans="1:17" x14ac:dyDescent="0.3">
      <c r="A371" s="21">
        <v>44565</v>
      </c>
      <c r="B371" s="9" t="s">
        <v>55</v>
      </c>
      <c r="C371" s="9" t="s">
        <v>41</v>
      </c>
      <c r="D371" s="9" t="s">
        <v>38</v>
      </c>
      <c r="E371" s="9" t="s">
        <v>18</v>
      </c>
      <c r="F371" s="10">
        <v>444</v>
      </c>
      <c r="G371" s="10">
        <v>265</v>
      </c>
      <c r="H371" s="10">
        <v>187</v>
      </c>
      <c r="I371" s="11">
        <v>264.83</v>
      </c>
      <c r="J371" s="11">
        <v>23.53</v>
      </c>
      <c r="K371" s="10">
        <v>10</v>
      </c>
      <c r="L371" s="9" t="s">
        <v>24</v>
      </c>
      <c r="M371" s="9">
        <v>1</v>
      </c>
      <c r="N371" s="11">
        <v>24.56</v>
      </c>
      <c r="O371" s="26" t="s">
        <v>39</v>
      </c>
      <c r="P371" s="14">
        <f t="shared" si="5"/>
        <v>0.59684684684684686</v>
      </c>
      <c r="Q371" s="17">
        <f>Table1[[#This Row],[Price]]-Table1[[#This Row],[Competitor Pricing]]</f>
        <v>-1.0299999999999976</v>
      </c>
    </row>
    <row r="372" spans="1:17" x14ac:dyDescent="0.3">
      <c r="A372" s="20">
        <v>44565</v>
      </c>
      <c r="B372" s="6" t="s">
        <v>55</v>
      </c>
      <c r="C372" s="6" t="s">
        <v>42</v>
      </c>
      <c r="D372" s="6" t="s">
        <v>38</v>
      </c>
      <c r="E372" s="6" t="s">
        <v>32</v>
      </c>
      <c r="F372" s="7">
        <v>281</v>
      </c>
      <c r="G372" s="7">
        <v>240</v>
      </c>
      <c r="H372" s="7">
        <v>182</v>
      </c>
      <c r="I372" s="8">
        <v>243.7</v>
      </c>
      <c r="J372" s="8">
        <v>56.3</v>
      </c>
      <c r="K372" s="7">
        <v>5</v>
      </c>
      <c r="L372" s="6" t="s">
        <v>24</v>
      </c>
      <c r="M372" s="6">
        <v>0</v>
      </c>
      <c r="N372" s="8">
        <v>60.74</v>
      </c>
      <c r="O372" s="25" t="s">
        <v>39</v>
      </c>
      <c r="P372" s="14">
        <f t="shared" si="5"/>
        <v>0.85409252669039148</v>
      </c>
      <c r="Q372" s="17">
        <f>Table1[[#This Row],[Price]]-Table1[[#This Row],[Competitor Pricing]]</f>
        <v>-4.4400000000000048</v>
      </c>
    </row>
    <row r="373" spans="1:17" x14ac:dyDescent="0.3">
      <c r="A373" s="21">
        <v>44565</v>
      </c>
      <c r="B373" s="9" t="s">
        <v>55</v>
      </c>
      <c r="C373" s="9" t="s">
        <v>43</v>
      </c>
      <c r="D373" s="9" t="s">
        <v>22</v>
      </c>
      <c r="E373" s="9" t="s">
        <v>18</v>
      </c>
      <c r="F373" s="10">
        <v>189</v>
      </c>
      <c r="G373" s="10">
        <v>153</v>
      </c>
      <c r="H373" s="10">
        <v>155</v>
      </c>
      <c r="I373" s="11">
        <v>145.16999999999999</v>
      </c>
      <c r="J373" s="11">
        <v>94.09</v>
      </c>
      <c r="K373" s="10">
        <v>5</v>
      </c>
      <c r="L373" s="9" t="s">
        <v>29</v>
      </c>
      <c r="M373" s="9">
        <v>0</v>
      </c>
      <c r="N373" s="11">
        <v>90.8</v>
      </c>
      <c r="O373" s="26" t="s">
        <v>39</v>
      </c>
      <c r="P373" s="14">
        <f t="shared" si="5"/>
        <v>0.80952380952380953</v>
      </c>
      <c r="Q373" s="17">
        <f>Table1[[#This Row],[Price]]-Table1[[#This Row],[Competitor Pricing]]</f>
        <v>3.2900000000000063</v>
      </c>
    </row>
    <row r="374" spans="1:17" x14ac:dyDescent="0.3">
      <c r="A374" s="20">
        <v>44565</v>
      </c>
      <c r="B374" s="6" t="s">
        <v>55</v>
      </c>
      <c r="C374" s="6" t="s">
        <v>45</v>
      </c>
      <c r="D374" s="6" t="s">
        <v>17</v>
      </c>
      <c r="E374" s="6" t="s">
        <v>26</v>
      </c>
      <c r="F374" s="7">
        <v>80</v>
      </c>
      <c r="G374" s="7">
        <v>68</v>
      </c>
      <c r="H374" s="7">
        <v>48</v>
      </c>
      <c r="I374" s="8">
        <v>81.02</v>
      </c>
      <c r="J374" s="8">
        <v>24.53</v>
      </c>
      <c r="K374" s="7">
        <v>20</v>
      </c>
      <c r="L374" s="6" t="s">
        <v>44</v>
      </c>
      <c r="M374" s="6">
        <v>1</v>
      </c>
      <c r="N374" s="8">
        <v>23.7</v>
      </c>
      <c r="O374" s="25" t="s">
        <v>39</v>
      </c>
      <c r="P374" s="14">
        <f t="shared" si="5"/>
        <v>0.85</v>
      </c>
      <c r="Q374" s="17">
        <f>Table1[[#This Row],[Price]]-Table1[[#This Row],[Competitor Pricing]]</f>
        <v>0.83000000000000185</v>
      </c>
    </row>
    <row r="375" spans="1:17" x14ac:dyDescent="0.3">
      <c r="A375" s="21">
        <v>44565</v>
      </c>
      <c r="B375" s="9" t="s">
        <v>55</v>
      </c>
      <c r="C375" s="9" t="s">
        <v>46</v>
      </c>
      <c r="D375" s="9" t="s">
        <v>36</v>
      </c>
      <c r="E375" s="9" t="s">
        <v>26</v>
      </c>
      <c r="F375" s="10">
        <v>314</v>
      </c>
      <c r="G375" s="10">
        <v>302</v>
      </c>
      <c r="H375" s="10">
        <v>42</v>
      </c>
      <c r="I375" s="11">
        <v>300.24</v>
      </c>
      <c r="J375" s="11">
        <v>70.33</v>
      </c>
      <c r="K375" s="10">
        <v>20</v>
      </c>
      <c r="L375" s="9" t="s">
        <v>44</v>
      </c>
      <c r="M375" s="9">
        <v>0</v>
      </c>
      <c r="N375" s="11">
        <v>72.22</v>
      </c>
      <c r="O375" s="26" t="s">
        <v>20</v>
      </c>
      <c r="P375" s="14">
        <f t="shared" si="5"/>
        <v>0.96178343949044587</v>
      </c>
      <c r="Q375" s="17">
        <f>Table1[[#This Row],[Price]]-Table1[[#This Row],[Competitor Pricing]]</f>
        <v>-1.8900000000000006</v>
      </c>
    </row>
    <row r="376" spans="1:17" x14ac:dyDescent="0.3">
      <c r="A376" s="20">
        <v>44565</v>
      </c>
      <c r="B376" s="6" t="s">
        <v>55</v>
      </c>
      <c r="C376" s="6" t="s">
        <v>47</v>
      </c>
      <c r="D376" s="6" t="s">
        <v>38</v>
      </c>
      <c r="E376" s="6" t="s">
        <v>26</v>
      </c>
      <c r="F376" s="7">
        <v>167</v>
      </c>
      <c r="G376" s="7">
        <v>70</v>
      </c>
      <c r="H376" s="7">
        <v>42</v>
      </c>
      <c r="I376" s="8">
        <v>69.66</v>
      </c>
      <c r="J376" s="8">
        <v>79.680000000000007</v>
      </c>
      <c r="K376" s="7">
        <v>5</v>
      </c>
      <c r="L376" s="6" t="s">
        <v>19</v>
      </c>
      <c r="M376" s="6">
        <v>1</v>
      </c>
      <c r="N376" s="8">
        <v>77.12</v>
      </c>
      <c r="O376" s="25" t="s">
        <v>39</v>
      </c>
      <c r="P376" s="14">
        <f t="shared" si="5"/>
        <v>0.41916167664670656</v>
      </c>
      <c r="Q376" s="17">
        <f>Table1[[#This Row],[Price]]-Table1[[#This Row],[Competitor Pricing]]</f>
        <v>2.5600000000000023</v>
      </c>
    </row>
    <row r="377" spans="1:17" x14ac:dyDescent="0.3">
      <c r="A377" s="21">
        <v>44565</v>
      </c>
      <c r="B377" s="9" t="s">
        <v>55</v>
      </c>
      <c r="C377" s="9" t="s">
        <v>48</v>
      </c>
      <c r="D377" s="9" t="s">
        <v>17</v>
      </c>
      <c r="E377" s="9" t="s">
        <v>26</v>
      </c>
      <c r="F377" s="10">
        <v>129</v>
      </c>
      <c r="G377" s="10">
        <v>92</v>
      </c>
      <c r="H377" s="10">
        <v>73</v>
      </c>
      <c r="I377" s="11">
        <v>89.92</v>
      </c>
      <c r="J377" s="11">
        <v>25.69</v>
      </c>
      <c r="K377" s="10">
        <v>0</v>
      </c>
      <c r="L377" s="9" t="s">
        <v>24</v>
      </c>
      <c r="M377" s="9">
        <v>0</v>
      </c>
      <c r="N377" s="11">
        <v>27.17</v>
      </c>
      <c r="O377" s="26" t="s">
        <v>20</v>
      </c>
      <c r="P377" s="14">
        <f t="shared" si="5"/>
        <v>0.71317829457364346</v>
      </c>
      <c r="Q377" s="17">
        <f>Table1[[#This Row],[Price]]-Table1[[#This Row],[Competitor Pricing]]</f>
        <v>-1.4800000000000004</v>
      </c>
    </row>
    <row r="378" spans="1:17" x14ac:dyDescent="0.3">
      <c r="A378" s="20">
        <v>44565</v>
      </c>
      <c r="B378" s="6" t="s">
        <v>55</v>
      </c>
      <c r="C378" s="6" t="s">
        <v>49</v>
      </c>
      <c r="D378" s="6" t="s">
        <v>38</v>
      </c>
      <c r="E378" s="6" t="s">
        <v>32</v>
      </c>
      <c r="F378" s="7">
        <v>425</v>
      </c>
      <c r="G378" s="7">
        <v>275</v>
      </c>
      <c r="H378" s="7">
        <v>160</v>
      </c>
      <c r="I378" s="8">
        <v>266.14</v>
      </c>
      <c r="J378" s="8">
        <v>25.04</v>
      </c>
      <c r="K378" s="7">
        <v>5</v>
      </c>
      <c r="L378" s="6" t="s">
        <v>24</v>
      </c>
      <c r="M378" s="6">
        <v>1</v>
      </c>
      <c r="N378" s="8">
        <v>29.56</v>
      </c>
      <c r="O378" s="25" t="s">
        <v>27</v>
      </c>
      <c r="P378" s="14">
        <f t="shared" si="5"/>
        <v>0.6470588235294118</v>
      </c>
      <c r="Q378" s="17">
        <f>Table1[[#This Row],[Price]]-Table1[[#This Row],[Competitor Pricing]]</f>
        <v>-4.5199999999999996</v>
      </c>
    </row>
    <row r="379" spans="1:17" x14ac:dyDescent="0.3">
      <c r="A379" s="21">
        <v>44565</v>
      </c>
      <c r="B379" s="9" t="s">
        <v>55</v>
      </c>
      <c r="C379" s="9" t="s">
        <v>50</v>
      </c>
      <c r="D379" s="9" t="s">
        <v>17</v>
      </c>
      <c r="E379" s="9" t="s">
        <v>32</v>
      </c>
      <c r="F379" s="10">
        <v>103</v>
      </c>
      <c r="G379" s="10">
        <v>3</v>
      </c>
      <c r="H379" s="10">
        <v>34</v>
      </c>
      <c r="I379" s="11">
        <v>20.62</v>
      </c>
      <c r="J379" s="11">
        <v>56.02</v>
      </c>
      <c r="K379" s="10">
        <v>15</v>
      </c>
      <c r="L379" s="9" t="s">
        <v>24</v>
      </c>
      <c r="M379" s="9">
        <v>0</v>
      </c>
      <c r="N379" s="11">
        <v>59.96</v>
      </c>
      <c r="O379" s="26" t="s">
        <v>34</v>
      </c>
      <c r="P379" s="14">
        <f t="shared" si="5"/>
        <v>2.9126213592233011E-2</v>
      </c>
      <c r="Q379" s="17">
        <f>Table1[[#This Row],[Price]]-Table1[[#This Row],[Competitor Pricing]]</f>
        <v>-3.9399999999999977</v>
      </c>
    </row>
    <row r="380" spans="1:17" x14ac:dyDescent="0.3">
      <c r="A380" s="20">
        <v>44565</v>
      </c>
      <c r="B380" s="6" t="s">
        <v>55</v>
      </c>
      <c r="C380" s="6" t="s">
        <v>51</v>
      </c>
      <c r="D380" s="6" t="s">
        <v>17</v>
      </c>
      <c r="E380" s="6" t="s">
        <v>26</v>
      </c>
      <c r="F380" s="7">
        <v>471</v>
      </c>
      <c r="G380" s="7">
        <v>307</v>
      </c>
      <c r="H380" s="7">
        <v>143</v>
      </c>
      <c r="I380" s="8">
        <v>319.56</v>
      </c>
      <c r="J380" s="8">
        <v>31.39</v>
      </c>
      <c r="K380" s="7">
        <v>5</v>
      </c>
      <c r="L380" s="6" t="s">
        <v>19</v>
      </c>
      <c r="M380" s="6">
        <v>1</v>
      </c>
      <c r="N380" s="8">
        <v>29.82</v>
      </c>
      <c r="O380" s="25" t="s">
        <v>34</v>
      </c>
      <c r="P380" s="14">
        <f t="shared" si="5"/>
        <v>0.65180467091295113</v>
      </c>
      <c r="Q380" s="17">
        <f>Table1[[#This Row],[Price]]-Table1[[#This Row],[Competitor Pricing]]</f>
        <v>1.5700000000000003</v>
      </c>
    </row>
    <row r="381" spans="1:17" x14ac:dyDescent="0.3">
      <c r="A381" s="21">
        <v>44565</v>
      </c>
      <c r="B381" s="9" t="s">
        <v>55</v>
      </c>
      <c r="C381" s="9" t="s">
        <v>52</v>
      </c>
      <c r="D381" s="9" t="s">
        <v>17</v>
      </c>
      <c r="E381" s="9" t="s">
        <v>23</v>
      </c>
      <c r="F381" s="10">
        <v>364</v>
      </c>
      <c r="G381" s="10">
        <v>62</v>
      </c>
      <c r="H381" s="10">
        <v>27</v>
      </c>
      <c r="I381" s="11">
        <v>68.97</v>
      </c>
      <c r="J381" s="11">
        <v>86.86</v>
      </c>
      <c r="K381" s="10">
        <v>15</v>
      </c>
      <c r="L381" s="9" t="s">
        <v>44</v>
      </c>
      <c r="M381" s="9">
        <v>0</v>
      </c>
      <c r="N381" s="11">
        <v>89.19</v>
      </c>
      <c r="O381" s="26" t="s">
        <v>39</v>
      </c>
      <c r="P381" s="14">
        <f t="shared" si="5"/>
        <v>0.17032967032967034</v>
      </c>
      <c r="Q381" s="17">
        <f>Table1[[#This Row],[Price]]-Table1[[#This Row],[Competitor Pricing]]</f>
        <v>-2.3299999999999983</v>
      </c>
    </row>
    <row r="382" spans="1:17" x14ac:dyDescent="0.3">
      <c r="A382" s="20">
        <v>44565</v>
      </c>
      <c r="B382" s="6" t="s">
        <v>56</v>
      </c>
      <c r="C382" s="6" t="s">
        <v>16</v>
      </c>
      <c r="D382" s="6" t="s">
        <v>36</v>
      </c>
      <c r="E382" s="6" t="s">
        <v>18</v>
      </c>
      <c r="F382" s="7">
        <v>383</v>
      </c>
      <c r="G382" s="7">
        <v>195</v>
      </c>
      <c r="H382" s="7">
        <v>175</v>
      </c>
      <c r="I382" s="8">
        <v>214.04</v>
      </c>
      <c r="J382" s="8">
        <v>21.71</v>
      </c>
      <c r="K382" s="7">
        <v>20</v>
      </c>
      <c r="L382" s="6" t="s">
        <v>19</v>
      </c>
      <c r="M382" s="6">
        <v>0</v>
      </c>
      <c r="N382" s="8">
        <v>24.11</v>
      </c>
      <c r="O382" s="25" t="s">
        <v>34</v>
      </c>
      <c r="P382" s="14">
        <f t="shared" si="5"/>
        <v>0.50913838120104438</v>
      </c>
      <c r="Q382" s="17">
        <f>Table1[[#This Row],[Price]]-Table1[[#This Row],[Competitor Pricing]]</f>
        <v>-2.3999999999999986</v>
      </c>
    </row>
    <row r="383" spans="1:17" x14ac:dyDescent="0.3">
      <c r="A383" s="21">
        <v>44565</v>
      </c>
      <c r="B383" s="9" t="s">
        <v>56</v>
      </c>
      <c r="C383" s="9" t="s">
        <v>21</v>
      </c>
      <c r="D383" s="9" t="s">
        <v>36</v>
      </c>
      <c r="E383" s="9" t="s">
        <v>26</v>
      </c>
      <c r="F383" s="10">
        <v>495</v>
      </c>
      <c r="G383" s="10">
        <v>33</v>
      </c>
      <c r="H383" s="10">
        <v>75</v>
      </c>
      <c r="I383" s="11">
        <v>36.130000000000003</v>
      </c>
      <c r="J383" s="11">
        <v>40.56</v>
      </c>
      <c r="K383" s="10">
        <v>5</v>
      </c>
      <c r="L383" s="9" t="s">
        <v>19</v>
      </c>
      <c r="M383" s="9">
        <v>1</v>
      </c>
      <c r="N383" s="11">
        <v>39.9</v>
      </c>
      <c r="O383" s="26" t="s">
        <v>34</v>
      </c>
      <c r="P383" s="14">
        <f t="shared" si="5"/>
        <v>6.6666666666666666E-2</v>
      </c>
      <c r="Q383" s="17">
        <f>Table1[[#This Row],[Price]]-Table1[[#This Row],[Competitor Pricing]]</f>
        <v>0.66000000000000369</v>
      </c>
    </row>
    <row r="384" spans="1:17" x14ac:dyDescent="0.3">
      <c r="A384" s="20">
        <v>44565</v>
      </c>
      <c r="B384" s="6" t="s">
        <v>56</v>
      </c>
      <c r="C384" s="6" t="s">
        <v>25</v>
      </c>
      <c r="D384" s="6" t="s">
        <v>22</v>
      </c>
      <c r="E384" s="6" t="s">
        <v>23</v>
      </c>
      <c r="F384" s="7">
        <v>439</v>
      </c>
      <c r="G384" s="7">
        <v>263</v>
      </c>
      <c r="H384" s="7">
        <v>107</v>
      </c>
      <c r="I384" s="8">
        <v>266.77</v>
      </c>
      <c r="J384" s="8">
        <v>29.2</v>
      </c>
      <c r="K384" s="7">
        <v>5</v>
      </c>
      <c r="L384" s="6" t="s">
        <v>44</v>
      </c>
      <c r="M384" s="6">
        <v>0</v>
      </c>
      <c r="N384" s="8">
        <v>30.66</v>
      </c>
      <c r="O384" s="25" t="s">
        <v>34</v>
      </c>
      <c r="P384" s="14">
        <f t="shared" si="5"/>
        <v>0.59908883826879267</v>
      </c>
      <c r="Q384" s="17">
        <f>Table1[[#This Row],[Price]]-Table1[[#This Row],[Competitor Pricing]]</f>
        <v>-1.4600000000000009</v>
      </c>
    </row>
    <row r="385" spans="1:17" x14ac:dyDescent="0.3">
      <c r="A385" s="21">
        <v>44565</v>
      </c>
      <c r="B385" s="9" t="s">
        <v>56</v>
      </c>
      <c r="C385" s="9" t="s">
        <v>28</v>
      </c>
      <c r="D385" s="9" t="s">
        <v>22</v>
      </c>
      <c r="E385" s="9" t="s">
        <v>26</v>
      </c>
      <c r="F385" s="10">
        <v>101</v>
      </c>
      <c r="G385" s="10">
        <v>83</v>
      </c>
      <c r="H385" s="10">
        <v>94</v>
      </c>
      <c r="I385" s="11">
        <v>97.81</v>
      </c>
      <c r="J385" s="11">
        <v>82.18</v>
      </c>
      <c r="K385" s="10">
        <v>20</v>
      </c>
      <c r="L385" s="9" t="s">
        <v>29</v>
      </c>
      <c r="M385" s="9">
        <v>1</v>
      </c>
      <c r="N385" s="11">
        <v>78.430000000000007</v>
      </c>
      <c r="O385" s="26" t="s">
        <v>27</v>
      </c>
      <c r="P385" s="14">
        <f t="shared" si="5"/>
        <v>0.82178217821782173</v>
      </c>
      <c r="Q385" s="17">
        <f>Table1[[#This Row],[Price]]-Table1[[#This Row],[Competitor Pricing]]</f>
        <v>3.75</v>
      </c>
    </row>
    <row r="386" spans="1:17" x14ac:dyDescent="0.3">
      <c r="A386" s="20">
        <v>44565</v>
      </c>
      <c r="B386" s="6" t="s">
        <v>56</v>
      </c>
      <c r="C386" s="6" t="s">
        <v>30</v>
      </c>
      <c r="D386" s="6" t="s">
        <v>22</v>
      </c>
      <c r="E386" s="6" t="s">
        <v>23</v>
      </c>
      <c r="F386" s="7">
        <v>292</v>
      </c>
      <c r="G386" s="7">
        <v>78</v>
      </c>
      <c r="H386" s="7">
        <v>25</v>
      </c>
      <c r="I386" s="8">
        <v>85.65</v>
      </c>
      <c r="J386" s="8">
        <v>45.85</v>
      </c>
      <c r="K386" s="7">
        <v>15</v>
      </c>
      <c r="L386" s="6" t="s">
        <v>24</v>
      </c>
      <c r="M386" s="6">
        <v>1</v>
      </c>
      <c r="N386" s="8">
        <v>43.84</v>
      </c>
      <c r="O386" s="25" t="s">
        <v>20</v>
      </c>
      <c r="P386" s="14">
        <f t="shared" si="5"/>
        <v>0.26712328767123289</v>
      </c>
      <c r="Q386" s="17">
        <f>Table1[[#This Row],[Price]]-Table1[[#This Row],[Competitor Pricing]]</f>
        <v>2.009999999999998</v>
      </c>
    </row>
    <row r="387" spans="1:17" x14ac:dyDescent="0.3">
      <c r="A387" s="21">
        <v>44565</v>
      </c>
      <c r="B387" s="9" t="s">
        <v>56</v>
      </c>
      <c r="C387" s="9" t="s">
        <v>33</v>
      </c>
      <c r="D387" s="9" t="s">
        <v>38</v>
      </c>
      <c r="E387" s="9" t="s">
        <v>26</v>
      </c>
      <c r="F387" s="10">
        <v>466</v>
      </c>
      <c r="G387" s="10">
        <v>118</v>
      </c>
      <c r="H387" s="10">
        <v>75</v>
      </c>
      <c r="I387" s="11">
        <v>133.87</v>
      </c>
      <c r="J387" s="11">
        <v>42.08</v>
      </c>
      <c r="K387" s="10">
        <v>10</v>
      </c>
      <c r="L387" s="9" t="s">
        <v>24</v>
      </c>
      <c r="M387" s="9">
        <v>0</v>
      </c>
      <c r="N387" s="11">
        <v>37.49</v>
      </c>
      <c r="O387" s="26" t="s">
        <v>27</v>
      </c>
      <c r="P387" s="14">
        <f t="shared" ref="P387:P450" si="6">G387/F387</f>
        <v>0.25321888412017168</v>
      </c>
      <c r="Q387" s="17">
        <f>Table1[[#This Row],[Price]]-Table1[[#This Row],[Competitor Pricing]]</f>
        <v>4.5899999999999963</v>
      </c>
    </row>
    <row r="388" spans="1:17" x14ac:dyDescent="0.3">
      <c r="A388" s="20">
        <v>44565</v>
      </c>
      <c r="B388" s="6" t="s">
        <v>56</v>
      </c>
      <c r="C388" s="6" t="s">
        <v>35</v>
      </c>
      <c r="D388" s="6" t="s">
        <v>38</v>
      </c>
      <c r="E388" s="6" t="s">
        <v>18</v>
      </c>
      <c r="F388" s="7">
        <v>175</v>
      </c>
      <c r="G388" s="7">
        <v>147</v>
      </c>
      <c r="H388" s="7">
        <v>130</v>
      </c>
      <c r="I388" s="8">
        <v>141.44</v>
      </c>
      <c r="J388" s="8">
        <v>51.22</v>
      </c>
      <c r="K388" s="7">
        <v>10</v>
      </c>
      <c r="L388" s="6" t="s">
        <v>29</v>
      </c>
      <c r="M388" s="6">
        <v>1</v>
      </c>
      <c r="N388" s="8">
        <v>54.22</v>
      </c>
      <c r="O388" s="25" t="s">
        <v>39</v>
      </c>
      <c r="P388" s="14">
        <f t="shared" si="6"/>
        <v>0.84</v>
      </c>
      <c r="Q388" s="17">
        <f>Table1[[#This Row],[Price]]-Table1[[#This Row],[Competitor Pricing]]</f>
        <v>-3</v>
      </c>
    </row>
    <row r="389" spans="1:17" x14ac:dyDescent="0.3">
      <c r="A389" s="21">
        <v>44565</v>
      </c>
      <c r="B389" s="9" t="s">
        <v>56</v>
      </c>
      <c r="C389" s="9" t="s">
        <v>37</v>
      </c>
      <c r="D389" s="9" t="s">
        <v>36</v>
      </c>
      <c r="E389" s="9" t="s">
        <v>23</v>
      </c>
      <c r="F389" s="10">
        <v>327</v>
      </c>
      <c r="G389" s="10">
        <v>216</v>
      </c>
      <c r="H389" s="10">
        <v>124</v>
      </c>
      <c r="I389" s="11">
        <v>233.51</v>
      </c>
      <c r="J389" s="11">
        <v>62.03</v>
      </c>
      <c r="K389" s="10">
        <v>20</v>
      </c>
      <c r="L389" s="9" t="s">
        <v>29</v>
      </c>
      <c r="M389" s="9">
        <v>0</v>
      </c>
      <c r="N389" s="11">
        <v>64.13</v>
      </c>
      <c r="O389" s="26" t="s">
        <v>27</v>
      </c>
      <c r="P389" s="14">
        <f t="shared" si="6"/>
        <v>0.66055045871559637</v>
      </c>
      <c r="Q389" s="17">
        <f>Table1[[#This Row],[Price]]-Table1[[#This Row],[Competitor Pricing]]</f>
        <v>-2.0999999999999943</v>
      </c>
    </row>
    <row r="390" spans="1:17" x14ac:dyDescent="0.3">
      <c r="A390" s="20">
        <v>44565</v>
      </c>
      <c r="B390" s="6" t="s">
        <v>56</v>
      </c>
      <c r="C390" s="6" t="s">
        <v>40</v>
      </c>
      <c r="D390" s="6" t="s">
        <v>17</v>
      </c>
      <c r="E390" s="6" t="s">
        <v>26</v>
      </c>
      <c r="F390" s="7">
        <v>194</v>
      </c>
      <c r="G390" s="7">
        <v>27</v>
      </c>
      <c r="H390" s="7">
        <v>43</v>
      </c>
      <c r="I390" s="8">
        <v>26.91</v>
      </c>
      <c r="J390" s="8">
        <v>36.53</v>
      </c>
      <c r="K390" s="7">
        <v>15</v>
      </c>
      <c r="L390" s="6" t="s">
        <v>44</v>
      </c>
      <c r="M390" s="6">
        <v>1</v>
      </c>
      <c r="N390" s="8">
        <v>35.630000000000003</v>
      </c>
      <c r="O390" s="25" t="s">
        <v>39</v>
      </c>
      <c r="P390" s="14">
        <f t="shared" si="6"/>
        <v>0.13917525773195877</v>
      </c>
      <c r="Q390" s="17">
        <f>Table1[[#This Row],[Price]]-Table1[[#This Row],[Competitor Pricing]]</f>
        <v>0.89999999999999858</v>
      </c>
    </row>
    <row r="391" spans="1:17" x14ac:dyDescent="0.3">
      <c r="A391" s="21">
        <v>44565</v>
      </c>
      <c r="B391" s="9" t="s">
        <v>56</v>
      </c>
      <c r="C391" s="9" t="s">
        <v>41</v>
      </c>
      <c r="D391" s="9" t="s">
        <v>31</v>
      </c>
      <c r="E391" s="9" t="s">
        <v>18</v>
      </c>
      <c r="F391" s="10">
        <v>349</v>
      </c>
      <c r="G391" s="10">
        <v>172</v>
      </c>
      <c r="H391" s="10">
        <v>189</v>
      </c>
      <c r="I391" s="11">
        <v>171.35</v>
      </c>
      <c r="J391" s="11">
        <v>84.66</v>
      </c>
      <c r="K391" s="10">
        <v>5</v>
      </c>
      <c r="L391" s="9" t="s">
        <v>19</v>
      </c>
      <c r="M391" s="9">
        <v>1</v>
      </c>
      <c r="N391" s="11">
        <v>79.81</v>
      </c>
      <c r="O391" s="26" t="s">
        <v>34</v>
      </c>
      <c r="P391" s="14">
        <f t="shared" si="6"/>
        <v>0.49283667621776506</v>
      </c>
      <c r="Q391" s="17">
        <f>Table1[[#This Row],[Price]]-Table1[[#This Row],[Competitor Pricing]]</f>
        <v>4.8499999999999943</v>
      </c>
    </row>
    <row r="392" spans="1:17" x14ac:dyDescent="0.3">
      <c r="A392" s="20">
        <v>44565</v>
      </c>
      <c r="B392" s="6" t="s">
        <v>56</v>
      </c>
      <c r="C392" s="6" t="s">
        <v>42</v>
      </c>
      <c r="D392" s="6" t="s">
        <v>22</v>
      </c>
      <c r="E392" s="6" t="s">
        <v>26</v>
      </c>
      <c r="F392" s="7">
        <v>237</v>
      </c>
      <c r="G392" s="7">
        <v>78</v>
      </c>
      <c r="H392" s="7">
        <v>192</v>
      </c>
      <c r="I392" s="8">
        <v>77.14</v>
      </c>
      <c r="J392" s="8">
        <v>39.15</v>
      </c>
      <c r="K392" s="7">
        <v>0</v>
      </c>
      <c r="L392" s="6" t="s">
        <v>44</v>
      </c>
      <c r="M392" s="6">
        <v>1</v>
      </c>
      <c r="N392" s="8">
        <v>35.15</v>
      </c>
      <c r="O392" s="25" t="s">
        <v>20</v>
      </c>
      <c r="P392" s="14">
        <f t="shared" si="6"/>
        <v>0.32911392405063289</v>
      </c>
      <c r="Q392" s="17">
        <f>Table1[[#This Row],[Price]]-Table1[[#This Row],[Competitor Pricing]]</f>
        <v>4</v>
      </c>
    </row>
    <row r="393" spans="1:17" x14ac:dyDescent="0.3">
      <c r="A393" s="21">
        <v>44565</v>
      </c>
      <c r="B393" s="9" t="s">
        <v>56</v>
      </c>
      <c r="C393" s="9" t="s">
        <v>43</v>
      </c>
      <c r="D393" s="9" t="s">
        <v>38</v>
      </c>
      <c r="E393" s="9" t="s">
        <v>23</v>
      </c>
      <c r="F393" s="10">
        <v>220</v>
      </c>
      <c r="G393" s="10">
        <v>196</v>
      </c>
      <c r="H393" s="10">
        <v>82</v>
      </c>
      <c r="I393" s="11">
        <v>187.61</v>
      </c>
      <c r="J393" s="11">
        <v>45.65</v>
      </c>
      <c r="K393" s="10">
        <v>15</v>
      </c>
      <c r="L393" s="9" t="s">
        <v>29</v>
      </c>
      <c r="M393" s="9">
        <v>1</v>
      </c>
      <c r="N393" s="11">
        <v>48.04</v>
      </c>
      <c r="O393" s="26" t="s">
        <v>27</v>
      </c>
      <c r="P393" s="14">
        <f t="shared" si="6"/>
        <v>0.89090909090909087</v>
      </c>
      <c r="Q393" s="17">
        <f>Table1[[#This Row],[Price]]-Table1[[#This Row],[Competitor Pricing]]</f>
        <v>-2.3900000000000006</v>
      </c>
    </row>
    <row r="394" spans="1:17" x14ac:dyDescent="0.3">
      <c r="A394" s="20">
        <v>44565</v>
      </c>
      <c r="B394" s="6" t="s">
        <v>56</v>
      </c>
      <c r="C394" s="6" t="s">
        <v>45</v>
      </c>
      <c r="D394" s="6" t="s">
        <v>17</v>
      </c>
      <c r="E394" s="6" t="s">
        <v>18</v>
      </c>
      <c r="F394" s="7">
        <v>86</v>
      </c>
      <c r="G394" s="7">
        <v>75</v>
      </c>
      <c r="H394" s="7">
        <v>153</v>
      </c>
      <c r="I394" s="8">
        <v>72.27</v>
      </c>
      <c r="J394" s="8">
        <v>40.270000000000003</v>
      </c>
      <c r="K394" s="7">
        <v>15</v>
      </c>
      <c r="L394" s="6" t="s">
        <v>24</v>
      </c>
      <c r="M394" s="6">
        <v>1</v>
      </c>
      <c r="N394" s="8">
        <v>41.66</v>
      </c>
      <c r="O394" s="25" t="s">
        <v>27</v>
      </c>
      <c r="P394" s="14">
        <f t="shared" si="6"/>
        <v>0.87209302325581395</v>
      </c>
      <c r="Q394" s="17">
        <f>Table1[[#This Row],[Price]]-Table1[[#This Row],[Competitor Pricing]]</f>
        <v>-1.3899999999999935</v>
      </c>
    </row>
    <row r="395" spans="1:17" x14ac:dyDescent="0.3">
      <c r="A395" s="21">
        <v>44565</v>
      </c>
      <c r="B395" s="9" t="s">
        <v>56</v>
      </c>
      <c r="C395" s="9" t="s">
        <v>46</v>
      </c>
      <c r="D395" s="9" t="s">
        <v>22</v>
      </c>
      <c r="E395" s="9" t="s">
        <v>26</v>
      </c>
      <c r="F395" s="10">
        <v>334</v>
      </c>
      <c r="G395" s="10">
        <v>11</v>
      </c>
      <c r="H395" s="10">
        <v>179</v>
      </c>
      <c r="I395" s="11">
        <v>8.4499999999999993</v>
      </c>
      <c r="J395" s="11">
        <v>82.99</v>
      </c>
      <c r="K395" s="10">
        <v>15</v>
      </c>
      <c r="L395" s="9" t="s">
        <v>44</v>
      </c>
      <c r="M395" s="9">
        <v>1</v>
      </c>
      <c r="N395" s="11">
        <v>87.85</v>
      </c>
      <c r="O395" s="26" t="s">
        <v>39</v>
      </c>
      <c r="P395" s="14">
        <f t="shared" si="6"/>
        <v>3.2934131736526949E-2</v>
      </c>
      <c r="Q395" s="17">
        <f>Table1[[#This Row],[Price]]-Table1[[#This Row],[Competitor Pricing]]</f>
        <v>-4.8599999999999994</v>
      </c>
    </row>
    <row r="396" spans="1:17" x14ac:dyDescent="0.3">
      <c r="A396" s="20">
        <v>44565</v>
      </c>
      <c r="B396" s="6" t="s">
        <v>56</v>
      </c>
      <c r="C396" s="6" t="s">
        <v>47</v>
      </c>
      <c r="D396" s="6" t="s">
        <v>38</v>
      </c>
      <c r="E396" s="6" t="s">
        <v>26</v>
      </c>
      <c r="F396" s="7">
        <v>186</v>
      </c>
      <c r="G396" s="7">
        <v>144</v>
      </c>
      <c r="H396" s="7">
        <v>197</v>
      </c>
      <c r="I396" s="8">
        <v>150.43</v>
      </c>
      <c r="J396" s="8">
        <v>60.15</v>
      </c>
      <c r="K396" s="7">
        <v>20</v>
      </c>
      <c r="L396" s="6" t="s">
        <v>29</v>
      </c>
      <c r="M396" s="6">
        <v>1</v>
      </c>
      <c r="N396" s="8">
        <v>61.9</v>
      </c>
      <c r="O396" s="25" t="s">
        <v>27</v>
      </c>
      <c r="P396" s="14">
        <f t="shared" si="6"/>
        <v>0.77419354838709675</v>
      </c>
      <c r="Q396" s="17">
        <f>Table1[[#This Row],[Price]]-Table1[[#This Row],[Competitor Pricing]]</f>
        <v>-1.75</v>
      </c>
    </row>
    <row r="397" spans="1:17" x14ac:dyDescent="0.3">
      <c r="A397" s="21">
        <v>44565</v>
      </c>
      <c r="B397" s="9" t="s">
        <v>56</v>
      </c>
      <c r="C397" s="9" t="s">
        <v>48</v>
      </c>
      <c r="D397" s="9" t="s">
        <v>31</v>
      </c>
      <c r="E397" s="9" t="s">
        <v>18</v>
      </c>
      <c r="F397" s="10">
        <v>288</v>
      </c>
      <c r="G397" s="10">
        <v>200</v>
      </c>
      <c r="H397" s="10">
        <v>180</v>
      </c>
      <c r="I397" s="11">
        <v>216.05</v>
      </c>
      <c r="J397" s="11">
        <v>15.19</v>
      </c>
      <c r="K397" s="10">
        <v>10</v>
      </c>
      <c r="L397" s="9" t="s">
        <v>24</v>
      </c>
      <c r="M397" s="9">
        <v>0</v>
      </c>
      <c r="N397" s="11">
        <v>12.13</v>
      </c>
      <c r="O397" s="26" t="s">
        <v>34</v>
      </c>
      <c r="P397" s="14">
        <f t="shared" si="6"/>
        <v>0.69444444444444442</v>
      </c>
      <c r="Q397" s="17">
        <f>Table1[[#This Row],[Price]]-Table1[[#This Row],[Competitor Pricing]]</f>
        <v>3.0599999999999987</v>
      </c>
    </row>
    <row r="398" spans="1:17" x14ac:dyDescent="0.3">
      <c r="A398" s="20">
        <v>44565</v>
      </c>
      <c r="B398" s="6" t="s">
        <v>56</v>
      </c>
      <c r="C398" s="6" t="s">
        <v>49</v>
      </c>
      <c r="D398" s="6" t="s">
        <v>22</v>
      </c>
      <c r="E398" s="6" t="s">
        <v>18</v>
      </c>
      <c r="F398" s="7">
        <v>460</v>
      </c>
      <c r="G398" s="7">
        <v>256</v>
      </c>
      <c r="H398" s="7">
        <v>107</v>
      </c>
      <c r="I398" s="8">
        <v>252.35</v>
      </c>
      <c r="J398" s="8">
        <v>37.46</v>
      </c>
      <c r="K398" s="7">
        <v>20</v>
      </c>
      <c r="L398" s="6" t="s">
        <v>29</v>
      </c>
      <c r="M398" s="6">
        <v>1</v>
      </c>
      <c r="N398" s="8">
        <v>33.090000000000003</v>
      </c>
      <c r="O398" s="25" t="s">
        <v>20</v>
      </c>
      <c r="P398" s="14">
        <f t="shared" si="6"/>
        <v>0.55652173913043479</v>
      </c>
      <c r="Q398" s="17">
        <f>Table1[[#This Row],[Price]]-Table1[[#This Row],[Competitor Pricing]]</f>
        <v>4.3699999999999974</v>
      </c>
    </row>
    <row r="399" spans="1:17" x14ac:dyDescent="0.3">
      <c r="A399" s="21">
        <v>44565</v>
      </c>
      <c r="B399" s="9" t="s">
        <v>56</v>
      </c>
      <c r="C399" s="9" t="s">
        <v>50</v>
      </c>
      <c r="D399" s="9" t="s">
        <v>17</v>
      </c>
      <c r="E399" s="9" t="s">
        <v>32</v>
      </c>
      <c r="F399" s="10">
        <v>482</v>
      </c>
      <c r="G399" s="10">
        <v>118</v>
      </c>
      <c r="H399" s="10">
        <v>168</v>
      </c>
      <c r="I399" s="11">
        <v>137.69999999999999</v>
      </c>
      <c r="J399" s="11">
        <v>34.44</v>
      </c>
      <c r="K399" s="10">
        <v>10</v>
      </c>
      <c r="L399" s="9" t="s">
        <v>29</v>
      </c>
      <c r="M399" s="9">
        <v>0</v>
      </c>
      <c r="N399" s="11">
        <v>33.51</v>
      </c>
      <c r="O399" s="26" t="s">
        <v>39</v>
      </c>
      <c r="P399" s="14">
        <f t="shared" si="6"/>
        <v>0.24481327800829875</v>
      </c>
      <c r="Q399" s="17">
        <f>Table1[[#This Row],[Price]]-Table1[[#This Row],[Competitor Pricing]]</f>
        <v>0.92999999999999972</v>
      </c>
    </row>
    <row r="400" spans="1:17" x14ac:dyDescent="0.3">
      <c r="A400" s="20">
        <v>44565</v>
      </c>
      <c r="B400" s="6" t="s">
        <v>56</v>
      </c>
      <c r="C400" s="6" t="s">
        <v>51</v>
      </c>
      <c r="D400" s="6" t="s">
        <v>22</v>
      </c>
      <c r="E400" s="6" t="s">
        <v>18</v>
      </c>
      <c r="F400" s="7">
        <v>278</v>
      </c>
      <c r="G400" s="7">
        <v>244</v>
      </c>
      <c r="H400" s="7">
        <v>24</v>
      </c>
      <c r="I400" s="8">
        <v>259.18</v>
      </c>
      <c r="J400" s="8">
        <v>84.99</v>
      </c>
      <c r="K400" s="7">
        <v>20</v>
      </c>
      <c r="L400" s="6" t="s">
        <v>19</v>
      </c>
      <c r="M400" s="6">
        <v>0</v>
      </c>
      <c r="N400" s="8">
        <v>85.21</v>
      </c>
      <c r="O400" s="25" t="s">
        <v>20</v>
      </c>
      <c r="P400" s="14">
        <f t="shared" si="6"/>
        <v>0.87769784172661869</v>
      </c>
      <c r="Q400" s="17">
        <f>Table1[[#This Row],[Price]]-Table1[[#This Row],[Competitor Pricing]]</f>
        <v>-0.21999999999999886</v>
      </c>
    </row>
    <row r="401" spans="1:17" x14ac:dyDescent="0.3">
      <c r="A401" s="21">
        <v>44565</v>
      </c>
      <c r="B401" s="9" t="s">
        <v>56</v>
      </c>
      <c r="C401" s="9" t="s">
        <v>52</v>
      </c>
      <c r="D401" s="9" t="s">
        <v>36</v>
      </c>
      <c r="E401" s="9" t="s">
        <v>26</v>
      </c>
      <c r="F401" s="10">
        <v>128</v>
      </c>
      <c r="G401" s="10">
        <v>54</v>
      </c>
      <c r="H401" s="10">
        <v>139</v>
      </c>
      <c r="I401" s="11">
        <v>62.09</v>
      </c>
      <c r="J401" s="11">
        <v>81.63</v>
      </c>
      <c r="K401" s="10">
        <v>10</v>
      </c>
      <c r="L401" s="9" t="s">
        <v>19</v>
      </c>
      <c r="M401" s="9">
        <v>0</v>
      </c>
      <c r="N401" s="11">
        <v>78.319999999999993</v>
      </c>
      <c r="O401" s="26" t="s">
        <v>20</v>
      </c>
      <c r="P401" s="14">
        <f t="shared" si="6"/>
        <v>0.421875</v>
      </c>
      <c r="Q401" s="17">
        <f>Table1[[#This Row],[Price]]-Table1[[#This Row],[Competitor Pricing]]</f>
        <v>3.3100000000000023</v>
      </c>
    </row>
    <row r="402" spans="1:17" x14ac:dyDescent="0.3">
      <c r="A402" s="20">
        <v>44566</v>
      </c>
      <c r="B402" s="6" t="s">
        <v>15</v>
      </c>
      <c r="C402" s="6" t="s">
        <v>16</v>
      </c>
      <c r="D402" s="6" t="s">
        <v>17</v>
      </c>
      <c r="E402" s="6" t="s">
        <v>23</v>
      </c>
      <c r="F402" s="7">
        <v>238</v>
      </c>
      <c r="G402" s="7">
        <v>147</v>
      </c>
      <c r="H402" s="7">
        <v>37</v>
      </c>
      <c r="I402" s="8">
        <v>150.27000000000001</v>
      </c>
      <c r="J402" s="8">
        <v>28.46</v>
      </c>
      <c r="K402" s="7">
        <v>20</v>
      </c>
      <c r="L402" s="6" t="s">
        <v>24</v>
      </c>
      <c r="M402" s="6">
        <v>1</v>
      </c>
      <c r="N402" s="8">
        <v>29.4</v>
      </c>
      <c r="O402" s="25" t="s">
        <v>34</v>
      </c>
      <c r="P402" s="14">
        <f t="shared" si="6"/>
        <v>0.61764705882352944</v>
      </c>
      <c r="Q402" s="17">
        <f>Table1[[#This Row],[Price]]-Table1[[#This Row],[Competitor Pricing]]</f>
        <v>-0.93999999999999773</v>
      </c>
    </row>
    <row r="403" spans="1:17" x14ac:dyDescent="0.3">
      <c r="A403" s="21">
        <v>44566</v>
      </c>
      <c r="B403" s="9" t="s">
        <v>15</v>
      </c>
      <c r="C403" s="9" t="s">
        <v>21</v>
      </c>
      <c r="D403" s="9" t="s">
        <v>22</v>
      </c>
      <c r="E403" s="9" t="s">
        <v>26</v>
      </c>
      <c r="F403" s="10">
        <v>270</v>
      </c>
      <c r="G403" s="10">
        <v>220</v>
      </c>
      <c r="H403" s="10">
        <v>165</v>
      </c>
      <c r="I403" s="11">
        <v>237</v>
      </c>
      <c r="J403" s="11">
        <v>79.540000000000006</v>
      </c>
      <c r="K403" s="10">
        <v>10</v>
      </c>
      <c r="L403" s="9" t="s">
        <v>19</v>
      </c>
      <c r="M403" s="9">
        <v>0</v>
      </c>
      <c r="N403" s="11">
        <v>80.22</v>
      </c>
      <c r="O403" s="26" t="s">
        <v>39</v>
      </c>
      <c r="P403" s="14">
        <f t="shared" si="6"/>
        <v>0.81481481481481477</v>
      </c>
      <c r="Q403" s="17">
        <f>Table1[[#This Row],[Price]]-Table1[[#This Row],[Competitor Pricing]]</f>
        <v>-0.67999999999999261</v>
      </c>
    </row>
    <row r="404" spans="1:17" x14ac:dyDescent="0.3">
      <c r="A404" s="20">
        <v>44566</v>
      </c>
      <c r="B404" s="6" t="s">
        <v>15</v>
      </c>
      <c r="C404" s="6" t="s">
        <v>25</v>
      </c>
      <c r="D404" s="6" t="s">
        <v>22</v>
      </c>
      <c r="E404" s="6" t="s">
        <v>23</v>
      </c>
      <c r="F404" s="7">
        <v>216</v>
      </c>
      <c r="G404" s="7">
        <v>97</v>
      </c>
      <c r="H404" s="7">
        <v>198</v>
      </c>
      <c r="I404" s="8">
        <v>101.54</v>
      </c>
      <c r="J404" s="8">
        <v>80.569999999999993</v>
      </c>
      <c r="K404" s="7">
        <v>5</v>
      </c>
      <c r="L404" s="6" t="s">
        <v>19</v>
      </c>
      <c r="M404" s="6">
        <v>1</v>
      </c>
      <c r="N404" s="8">
        <v>78.89</v>
      </c>
      <c r="O404" s="25" t="s">
        <v>27</v>
      </c>
      <c r="P404" s="14">
        <f t="shared" si="6"/>
        <v>0.44907407407407407</v>
      </c>
      <c r="Q404" s="17">
        <f>Table1[[#This Row],[Price]]-Table1[[#This Row],[Competitor Pricing]]</f>
        <v>1.6799999999999926</v>
      </c>
    </row>
    <row r="405" spans="1:17" x14ac:dyDescent="0.3">
      <c r="A405" s="21">
        <v>44566</v>
      </c>
      <c r="B405" s="9" t="s">
        <v>15</v>
      </c>
      <c r="C405" s="9" t="s">
        <v>28</v>
      </c>
      <c r="D405" s="9" t="s">
        <v>31</v>
      </c>
      <c r="E405" s="9" t="s">
        <v>18</v>
      </c>
      <c r="F405" s="10">
        <v>172</v>
      </c>
      <c r="G405" s="10">
        <v>29</v>
      </c>
      <c r="H405" s="10">
        <v>73</v>
      </c>
      <c r="I405" s="11">
        <v>40.03</v>
      </c>
      <c r="J405" s="11">
        <v>93.53</v>
      </c>
      <c r="K405" s="10">
        <v>20</v>
      </c>
      <c r="L405" s="9" t="s">
        <v>44</v>
      </c>
      <c r="M405" s="9">
        <v>1</v>
      </c>
      <c r="N405" s="11">
        <v>93.55</v>
      </c>
      <c r="O405" s="26" t="s">
        <v>20</v>
      </c>
      <c r="P405" s="14">
        <f t="shared" si="6"/>
        <v>0.16860465116279069</v>
      </c>
      <c r="Q405" s="17">
        <f>Table1[[#This Row],[Price]]-Table1[[#This Row],[Competitor Pricing]]</f>
        <v>-1.9999999999996021E-2</v>
      </c>
    </row>
    <row r="406" spans="1:17" x14ac:dyDescent="0.3">
      <c r="A406" s="20">
        <v>44566</v>
      </c>
      <c r="B406" s="6" t="s">
        <v>15</v>
      </c>
      <c r="C406" s="6" t="s">
        <v>30</v>
      </c>
      <c r="D406" s="6" t="s">
        <v>36</v>
      </c>
      <c r="E406" s="6" t="s">
        <v>26</v>
      </c>
      <c r="F406" s="7">
        <v>405</v>
      </c>
      <c r="G406" s="7">
        <v>192</v>
      </c>
      <c r="H406" s="7">
        <v>76</v>
      </c>
      <c r="I406" s="8">
        <v>193.38</v>
      </c>
      <c r="J406" s="8">
        <v>46.13</v>
      </c>
      <c r="K406" s="7">
        <v>0</v>
      </c>
      <c r="L406" s="6" t="s">
        <v>29</v>
      </c>
      <c r="M406" s="6">
        <v>0</v>
      </c>
      <c r="N406" s="8">
        <v>42.56</v>
      </c>
      <c r="O406" s="25" t="s">
        <v>39</v>
      </c>
      <c r="P406" s="14">
        <f t="shared" si="6"/>
        <v>0.47407407407407409</v>
      </c>
      <c r="Q406" s="17">
        <f>Table1[[#This Row],[Price]]-Table1[[#This Row],[Competitor Pricing]]</f>
        <v>3.5700000000000003</v>
      </c>
    </row>
    <row r="407" spans="1:17" x14ac:dyDescent="0.3">
      <c r="A407" s="21">
        <v>44566</v>
      </c>
      <c r="B407" s="9" t="s">
        <v>15</v>
      </c>
      <c r="C407" s="9" t="s">
        <v>33</v>
      </c>
      <c r="D407" s="9" t="s">
        <v>22</v>
      </c>
      <c r="E407" s="9" t="s">
        <v>18</v>
      </c>
      <c r="F407" s="10">
        <v>338</v>
      </c>
      <c r="G407" s="10">
        <v>158</v>
      </c>
      <c r="H407" s="10">
        <v>139</v>
      </c>
      <c r="I407" s="11">
        <v>168.84</v>
      </c>
      <c r="J407" s="11">
        <v>60.2</v>
      </c>
      <c r="K407" s="10">
        <v>0</v>
      </c>
      <c r="L407" s="9" t="s">
        <v>19</v>
      </c>
      <c r="M407" s="9">
        <v>1</v>
      </c>
      <c r="N407" s="11">
        <v>57.13</v>
      </c>
      <c r="O407" s="26" t="s">
        <v>34</v>
      </c>
      <c r="P407" s="14">
        <f t="shared" si="6"/>
        <v>0.46745562130177515</v>
      </c>
      <c r="Q407" s="17">
        <f>Table1[[#This Row],[Price]]-Table1[[#This Row],[Competitor Pricing]]</f>
        <v>3.0700000000000003</v>
      </c>
    </row>
    <row r="408" spans="1:17" x14ac:dyDescent="0.3">
      <c r="A408" s="20">
        <v>44566</v>
      </c>
      <c r="B408" s="6" t="s">
        <v>15</v>
      </c>
      <c r="C408" s="6" t="s">
        <v>35</v>
      </c>
      <c r="D408" s="6" t="s">
        <v>17</v>
      </c>
      <c r="E408" s="6" t="s">
        <v>26</v>
      </c>
      <c r="F408" s="7">
        <v>409</v>
      </c>
      <c r="G408" s="7">
        <v>8</v>
      </c>
      <c r="H408" s="7">
        <v>143</v>
      </c>
      <c r="I408" s="8">
        <v>17.440000000000001</v>
      </c>
      <c r="J408" s="8">
        <v>53.65</v>
      </c>
      <c r="K408" s="7">
        <v>5</v>
      </c>
      <c r="L408" s="6" t="s">
        <v>29</v>
      </c>
      <c r="M408" s="6">
        <v>0</v>
      </c>
      <c r="N408" s="8">
        <v>53.31</v>
      </c>
      <c r="O408" s="25" t="s">
        <v>20</v>
      </c>
      <c r="P408" s="14">
        <f t="shared" si="6"/>
        <v>1.9559902200488997E-2</v>
      </c>
      <c r="Q408" s="17">
        <f>Table1[[#This Row],[Price]]-Table1[[#This Row],[Competitor Pricing]]</f>
        <v>0.33999999999999631</v>
      </c>
    </row>
    <row r="409" spans="1:17" x14ac:dyDescent="0.3">
      <c r="A409" s="21">
        <v>44566</v>
      </c>
      <c r="B409" s="9" t="s">
        <v>15</v>
      </c>
      <c r="C409" s="9" t="s">
        <v>37</v>
      </c>
      <c r="D409" s="9" t="s">
        <v>31</v>
      </c>
      <c r="E409" s="9" t="s">
        <v>26</v>
      </c>
      <c r="F409" s="10">
        <v>102</v>
      </c>
      <c r="G409" s="10">
        <v>42</v>
      </c>
      <c r="H409" s="10">
        <v>23</v>
      </c>
      <c r="I409" s="11">
        <v>35.11</v>
      </c>
      <c r="J409" s="11">
        <v>59.2</v>
      </c>
      <c r="K409" s="10">
        <v>5</v>
      </c>
      <c r="L409" s="9" t="s">
        <v>44</v>
      </c>
      <c r="M409" s="9">
        <v>0</v>
      </c>
      <c r="N409" s="11">
        <v>58.19</v>
      </c>
      <c r="O409" s="26" t="s">
        <v>34</v>
      </c>
      <c r="P409" s="14">
        <f t="shared" si="6"/>
        <v>0.41176470588235292</v>
      </c>
      <c r="Q409" s="17">
        <f>Table1[[#This Row],[Price]]-Table1[[#This Row],[Competitor Pricing]]</f>
        <v>1.0100000000000051</v>
      </c>
    </row>
    <row r="410" spans="1:17" x14ac:dyDescent="0.3">
      <c r="A410" s="20">
        <v>44566</v>
      </c>
      <c r="B410" s="6" t="s">
        <v>15</v>
      </c>
      <c r="C410" s="6" t="s">
        <v>40</v>
      </c>
      <c r="D410" s="6" t="s">
        <v>36</v>
      </c>
      <c r="E410" s="6" t="s">
        <v>32</v>
      </c>
      <c r="F410" s="7">
        <v>433</v>
      </c>
      <c r="G410" s="7">
        <v>5</v>
      </c>
      <c r="H410" s="7">
        <v>185</v>
      </c>
      <c r="I410" s="8">
        <v>6.6</v>
      </c>
      <c r="J410" s="8">
        <v>98.03</v>
      </c>
      <c r="K410" s="7">
        <v>5</v>
      </c>
      <c r="L410" s="6" t="s">
        <v>19</v>
      </c>
      <c r="M410" s="6">
        <v>0</v>
      </c>
      <c r="N410" s="8">
        <v>93.57</v>
      </c>
      <c r="O410" s="25" t="s">
        <v>39</v>
      </c>
      <c r="P410" s="14">
        <f t="shared" si="6"/>
        <v>1.1547344110854504E-2</v>
      </c>
      <c r="Q410" s="17">
        <f>Table1[[#This Row],[Price]]-Table1[[#This Row],[Competitor Pricing]]</f>
        <v>4.460000000000008</v>
      </c>
    </row>
    <row r="411" spans="1:17" x14ac:dyDescent="0.3">
      <c r="A411" s="21">
        <v>44566</v>
      </c>
      <c r="B411" s="9" t="s">
        <v>15</v>
      </c>
      <c r="C411" s="9" t="s">
        <v>41</v>
      </c>
      <c r="D411" s="9" t="s">
        <v>36</v>
      </c>
      <c r="E411" s="9" t="s">
        <v>32</v>
      </c>
      <c r="F411" s="10">
        <v>288</v>
      </c>
      <c r="G411" s="10">
        <v>93</v>
      </c>
      <c r="H411" s="10">
        <v>169</v>
      </c>
      <c r="I411" s="11">
        <v>85.66</v>
      </c>
      <c r="J411" s="11">
        <v>32.6</v>
      </c>
      <c r="K411" s="10">
        <v>20</v>
      </c>
      <c r="L411" s="9" t="s">
        <v>19</v>
      </c>
      <c r="M411" s="9">
        <v>0</v>
      </c>
      <c r="N411" s="11">
        <v>32.17</v>
      </c>
      <c r="O411" s="26" t="s">
        <v>39</v>
      </c>
      <c r="P411" s="14">
        <f t="shared" si="6"/>
        <v>0.32291666666666669</v>
      </c>
      <c r="Q411" s="17">
        <f>Table1[[#This Row],[Price]]-Table1[[#This Row],[Competitor Pricing]]</f>
        <v>0.42999999999999972</v>
      </c>
    </row>
    <row r="412" spans="1:17" x14ac:dyDescent="0.3">
      <c r="A412" s="20">
        <v>44566</v>
      </c>
      <c r="B412" s="6" t="s">
        <v>15</v>
      </c>
      <c r="C412" s="6" t="s">
        <v>42</v>
      </c>
      <c r="D412" s="6" t="s">
        <v>17</v>
      </c>
      <c r="E412" s="6" t="s">
        <v>18</v>
      </c>
      <c r="F412" s="7">
        <v>485</v>
      </c>
      <c r="G412" s="7">
        <v>44</v>
      </c>
      <c r="H412" s="7">
        <v>191</v>
      </c>
      <c r="I412" s="8">
        <v>54.08</v>
      </c>
      <c r="J412" s="8">
        <v>53.31</v>
      </c>
      <c r="K412" s="7">
        <v>5</v>
      </c>
      <c r="L412" s="6" t="s">
        <v>24</v>
      </c>
      <c r="M412" s="6">
        <v>1</v>
      </c>
      <c r="N412" s="8">
        <v>52.89</v>
      </c>
      <c r="O412" s="25" t="s">
        <v>39</v>
      </c>
      <c r="P412" s="14">
        <f t="shared" si="6"/>
        <v>9.0721649484536079E-2</v>
      </c>
      <c r="Q412" s="17">
        <f>Table1[[#This Row],[Price]]-Table1[[#This Row],[Competitor Pricing]]</f>
        <v>0.42000000000000171</v>
      </c>
    </row>
    <row r="413" spans="1:17" x14ac:dyDescent="0.3">
      <c r="A413" s="21">
        <v>44566</v>
      </c>
      <c r="B413" s="9" t="s">
        <v>15</v>
      </c>
      <c r="C413" s="9" t="s">
        <v>43</v>
      </c>
      <c r="D413" s="9" t="s">
        <v>31</v>
      </c>
      <c r="E413" s="9" t="s">
        <v>26</v>
      </c>
      <c r="F413" s="10">
        <v>414</v>
      </c>
      <c r="G413" s="10">
        <v>78</v>
      </c>
      <c r="H413" s="10">
        <v>91</v>
      </c>
      <c r="I413" s="11">
        <v>76.67</v>
      </c>
      <c r="J413" s="11">
        <v>93.96</v>
      </c>
      <c r="K413" s="10">
        <v>20</v>
      </c>
      <c r="L413" s="9" t="s">
        <v>24</v>
      </c>
      <c r="M413" s="9">
        <v>0</v>
      </c>
      <c r="N413" s="11">
        <v>98.29</v>
      </c>
      <c r="O413" s="26" t="s">
        <v>27</v>
      </c>
      <c r="P413" s="14">
        <f t="shared" si="6"/>
        <v>0.18840579710144928</v>
      </c>
      <c r="Q413" s="17">
        <f>Table1[[#This Row],[Price]]-Table1[[#This Row],[Competitor Pricing]]</f>
        <v>-4.3300000000000125</v>
      </c>
    </row>
    <row r="414" spans="1:17" x14ac:dyDescent="0.3">
      <c r="A414" s="20">
        <v>44566</v>
      </c>
      <c r="B414" s="6" t="s">
        <v>15</v>
      </c>
      <c r="C414" s="6" t="s">
        <v>45</v>
      </c>
      <c r="D414" s="6" t="s">
        <v>22</v>
      </c>
      <c r="E414" s="6" t="s">
        <v>32</v>
      </c>
      <c r="F414" s="7">
        <v>370</v>
      </c>
      <c r="G414" s="7">
        <v>57</v>
      </c>
      <c r="H414" s="7">
        <v>24</v>
      </c>
      <c r="I414" s="8">
        <v>55.73</v>
      </c>
      <c r="J414" s="8">
        <v>83.3</v>
      </c>
      <c r="K414" s="7">
        <v>0</v>
      </c>
      <c r="L414" s="6" t="s">
        <v>44</v>
      </c>
      <c r="M414" s="6">
        <v>0</v>
      </c>
      <c r="N414" s="8">
        <v>82.46</v>
      </c>
      <c r="O414" s="25" t="s">
        <v>27</v>
      </c>
      <c r="P414" s="14">
        <f t="shared" si="6"/>
        <v>0.15405405405405406</v>
      </c>
      <c r="Q414" s="17">
        <f>Table1[[#This Row],[Price]]-Table1[[#This Row],[Competitor Pricing]]</f>
        <v>0.84000000000000341</v>
      </c>
    </row>
    <row r="415" spans="1:17" x14ac:dyDescent="0.3">
      <c r="A415" s="21">
        <v>44566</v>
      </c>
      <c r="B415" s="9" t="s">
        <v>15</v>
      </c>
      <c r="C415" s="9" t="s">
        <v>46</v>
      </c>
      <c r="D415" s="9" t="s">
        <v>22</v>
      </c>
      <c r="E415" s="9" t="s">
        <v>18</v>
      </c>
      <c r="F415" s="10">
        <v>233</v>
      </c>
      <c r="G415" s="10">
        <v>161</v>
      </c>
      <c r="H415" s="10">
        <v>171</v>
      </c>
      <c r="I415" s="11">
        <v>155.79</v>
      </c>
      <c r="J415" s="11">
        <v>12.66</v>
      </c>
      <c r="K415" s="10">
        <v>15</v>
      </c>
      <c r="L415" s="9" t="s">
        <v>19</v>
      </c>
      <c r="M415" s="9">
        <v>1</v>
      </c>
      <c r="N415" s="11">
        <v>12.38</v>
      </c>
      <c r="O415" s="26" t="s">
        <v>20</v>
      </c>
      <c r="P415" s="14">
        <f t="shared" si="6"/>
        <v>0.69098712446351929</v>
      </c>
      <c r="Q415" s="17">
        <f>Table1[[#This Row],[Price]]-Table1[[#This Row],[Competitor Pricing]]</f>
        <v>0.27999999999999936</v>
      </c>
    </row>
    <row r="416" spans="1:17" x14ac:dyDescent="0.3">
      <c r="A416" s="20">
        <v>44566</v>
      </c>
      <c r="B416" s="6" t="s">
        <v>15</v>
      </c>
      <c r="C416" s="6" t="s">
        <v>47</v>
      </c>
      <c r="D416" s="6" t="s">
        <v>22</v>
      </c>
      <c r="E416" s="6" t="s">
        <v>26</v>
      </c>
      <c r="F416" s="7">
        <v>272</v>
      </c>
      <c r="G416" s="7">
        <v>172</v>
      </c>
      <c r="H416" s="7">
        <v>139</v>
      </c>
      <c r="I416" s="8">
        <v>183.33</v>
      </c>
      <c r="J416" s="8">
        <v>55.77</v>
      </c>
      <c r="K416" s="7">
        <v>20</v>
      </c>
      <c r="L416" s="6" t="s">
        <v>19</v>
      </c>
      <c r="M416" s="6">
        <v>1</v>
      </c>
      <c r="N416" s="8">
        <v>59.56</v>
      </c>
      <c r="O416" s="25" t="s">
        <v>34</v>
      </c>
      <c r="P416" s="14">
        <f t="shared" si="6"/>
        <v>0.63235294117647056</v>
      </c>
      <c r="Q416" s="17">
        <f>Table1[[#This Row],[Price]]-Table1[[#This Row],[Competitor Pricing]]</f>
        <v>-3.7899999999999991</v>
      </c>
    </row>
    <row r="417" spans="1:17" x14ac:dyDescent="0.3">
      <c r="A417" s="21">
        <v>44566</v>
      </c>
      <c r="B417" s="9" t="s">
        <v>15</v>
      </c>
      <c r="C417" s="9" t="s">
        <v>48</v>
      </c>
      <c r="D417" s="9" t="s">
        <v>17</v>
      </c>
      <c r="E417" s="9" t="s">
        <v>32</v>
      </c>
      <c r="F417" s="10">
        <v>189</v>
      </c>
      <c r="G417" s="10">
        <v>132</v>
      </c>
      <c r="H417" s="10">
        <v>196</v>
      </c>
      <c r="I417" s="11">
        <v>143.24</v>
      </c>
      <c r="J417" s="11">
        <v>30.15</v>
      </c>
      <c r="K417" s="10">
        <v>15</v>
      </c>
      <c r="L417" s="9" t="s">
        <v>19</v>
      </c>
      <c r="M417" s="9">
        <v>0</v>
      </c>
      <c r="N417" s="11">
        <v>26.17</v>
      </c>
      <c r="O417" s="26" t="s">
        <v>20</v>
      </c>
      <c r="P417" s="14">
        <f t="shared" si="6"/>
        <v>0.69841269841269837</v>
      </c>
      <c r="Q417" s="17">
        <f>Table1[[#This Row],[Price]]-Table1[[#This Row],[Competitor Pricing]]</f>
        <v>3.9799999999999969</v>
      </c>
    </row>
    <row r="418" spans="1:17" x14ac:dyDescent="0.3">
      <c r="A418" s="20">
        <v>44566</v>
      </c>
      <c r="B418" s="6" t="s">
        <v>15</v>
      </c>
      <c r="C418" s="6" t="s">
        <v>49</v>
      </c>
      <c r="D418" s="6" t="s">
        <v>31</v>
      </c>
      <c r="E418" s="6" t="s">
        <v>32</v>
      </c>
      <c r="F418" s="7">
        <v>120</v>
      </c>
      <c r="G418" s="7">
        <v>46</v>
      </c>
      <c r="H418" s="7">
        <v>156</v>
      </c>
      <c r="I418" s="8">
        <v>53.06</v>
      </c>
      <c r="J418" s="8">
        <v>63.75</v>
      </c>
      <c r="K418" s="7">
        <v>5</v>
      </c>
      <c r="L418" s="6" t="s">
        <v>44</v>
      </c>
      <c r="M418" s="6">
        <v>0</v>
      </c>
      <c r="N418" s="8">
        <v>60.02</v>
      </c>
      <c r="O418" s="25" t="s">
        <v>34</v>
      </c>
      <c r="P418" s="14">
        <f t="shared" si="6"/>
        <v>0.38333333333333336</v>
      </c>
      <c r="Q418" s="17">
        <f>Table1[[#This Row],[Price]]-Table1[[#This Row],[Competitor Pricing]]</f>
        <v>3.7299999999999969</v>
      </c>
    </row>
    <row r="419" spans="1:17" x14ac:dyDescent="0.3">
      <c r="A419" s="21">
        <v>44566</v>
      </c>
      <c r="B419" s="9" t="s">
        <v>15</v>
      </c>
      <c r="C419" s="9" t="s">
        <v>50</v>
      </c>
      <c r="D419" s="9" t="s">
        <v>17</v>
      </c>
      <c r="E419" s="9" t="s">
        <v>23</v>
      </c>
      <c r="F419" s="10">
        <v>248</v>
      </c>
      <c r="G419" s="10">
        <v>17</v>
      </c>
      <c r="H419" s="10">
        <v>200</v>
      </c>
      <c r="I419" s="11">
        <v>17.8</v>
      </c>
      <c r="J419" s="11">
        <v>97.51</v>
      </c>
      <c r="K419" s="10">
        <v>10</v>
      </c>
      <c r="L419" s="9" t="s">
        <v>44</v>
      </c>
      <c r="M419" s="9">
        <v>0</v>
      </c>
      <c r="N419" s="11">
        <v>97.99</v>
      </c>
      <c r="O419" s="26" t="s">
        <v>39</v>
      </c>
      <c r="P419" s="14">
        <f t="shared" si="6"/>
        <v>6.8548387096774188E-2</v>
      </c>
      <c r="Q419" s="17">
        <f>Table1[[#This Row],[Price]]-Table1[[#This Row],[Competitor Pricing]]</f>
        <v>-0.47999999999998977</v>
      </c>
    </row>
    <row r="420" spans="1:17" x14ac:dyDescent="0.3">
      <c r="A420" s="20">
        <v>44566</v>
      </c>
      <c r="B420" s="6" t="s">
        <v>15</v>
      </c>
      <c r="C420" s="6" t="s">
        <v>51</v>
      </c>
      <c r="D420" s="6" t="s">
        <v>31</v>
      </c>
      <c r="E420" s="6" t="s">
        <v>26</v>
      </c>
      <c r="F420" s="7">
        <v>492</v>
      </c>
      <c r="G420" s="7">
        <v>38</v>
      </c>
      <c r="H420" s="7">
        <v>167</v>
      </c>
      <c r="I420" s="8">
        <v>47.82</v>
      </c>
      <c r="J420" s="8">
        <v>49.8</v>
      </c>
      <c r="K420" s="7">
        <v>5</v>
      </c>
      <c r="L420" s="6" t="s">
        <v>19</v>
      </c>
      <c r="M420" s="6">
        <v>1</v>
      </c>
      <c r="N420" s="8">
        <v>47.76</v>
      </c>
      <c r="O420" s="25" t="s">
        <v>20</v>
      </c>
      <c r="P420" s="14">
        <f t="shared" si="6"/>
        <v>7.7235772357723581E-2</v>
      </c>
      <c r="Q420" s="17">
        <f>Table1[[#This Row],[Price]]-Table1[[#This Row],[Competitor Pricing]]</f>
        <v>2.0399999999999991</v>
      </c>
    </row>
    <row r="421" spans="1:17" x14ac:dyDescent="0.3">
      <c r="A421" s="21">
        <v>44566</v>
      </c>
      <c r="B421" s="9" t="s">
        <v>15</v>
      </c>
      <c r="C421" s="9" t="s">
        <v>52</v>
      </c>
      <c r="D421" s="9" t="s">
        <v>22</v>
      </c>
      <c r="E421" s="9" t="s">
        <v>26</v>
      </c>
      <c r="F421" s="10">
        <v>355</v>
      </c>
      <c r="G421" s="10">
        <v>11</v>
      </c>
      <c r="H421" s="10">
        <v>26</v>
      </c>
      <c r="I421" s="11">
        <v>4.5</v>
      </c>
      <c r="J421" s="11">
        <v>33.299999999999997</v>
      </c>
      <c r="K421" s="10">
        <v>10</v>
      </c>
      <c r="L421" s="9" t="s">
        <v>19</v>
      </c>
      <c r="M421" s="9">
        <v>0</v>
      </c>
      <c r="N421" s="11">
        <v>37.71</v>
      </c>
      <c r="O421" s="26" t="s">
        <v>34</v>
      </c>
      <c r="P421" s="14">
        <f t="shared" si="6"/>
        <v>3.0985915492957747E-2</v>
      </c>
      <c r="Q421" s="17">
        <f>Table1[[#This Row],[Price]]-Table1[[#This Row],[Competitor Pricing]]</f>
        <v>-4.4100000000000037</v>
      </c>
    </row>
    <row r="422" spans="1:17" x14ac:dyDescent="0.3">
      <c r="A422" s="20">
        <v>44566</v>
      </c>
      <c r="B422" s="6" t="s">
        <v>53</v>
      </c>
      <c r="C422" s="6" t="s">
        <v>16</v>
      </c>
      <c r="D422" s="6" t="s">
        <v>36</v>
      </c>
      <c r="E422" s="6" t="s">
        <v>32</v>
      </c>
      <c r="F422" s="7">
        <v>250</v>
      </c>
      <c r="G422" s="7">
        <v>161</v>
      </c>
      <c r="H422" s="7">
        <v>70</v>
      </c>
      <c r="I422" s="8">
        <v>171.45</v>
      </c>
      <c r="J422" s="8">
        <v>56.24</v>
      </c>
      <c r="K422" s="7">
        <v>15</v>
      </c>
      <c r="L422" s="6" t="s">
        <v>44</v>
      </c>
      <c r="M422" s="6">
        <v>1</v>
      </c>
      <c r="N422" s="8">
        <v>60.32</v>
      </c>
      <c r="O422" s="25" t="s">
        <v>39</v>
      </c>
      <c r="P422" s="14">
        <f t="shared" si="6"/>
        <v>0.64400000000000002</v>
      </c>
      <c r="Q422" s="17">
        <f>Table1[[#This Row],[Price]]-Table1[[#This Row],[Competitor Pricing]]</f>
        <v>-4.0799999999999983</v>
      </c>
    </row>
    <row r="423" spans="1:17" x14ac:dyDescent="0.3">
      <c r="A423" s="21">
        <v>44566</v>
      </c>
      <c r="B423" s="9" t="s">
        <v>53</v>
      </c>
      <c r="C423" s="9" t="s">
        <v>21</v>
      </c>
      <c r="D423" s="9" t="s">
        <v>31</v>
      </c>
      <c r="E423" s="9" t="s">
        <v>18</v>
      </c>
      <c r="F423" s="10">
        <v>182</v>
      </c>
      <c r="G423" s="10">
        <v>101</v>
      </c>
      <c r="H423" s="10">
        <v>81</v>
      </c>
      <c r="I423" s="11">
        <v>92.92</v>
      </c>
      <c r="J423" s="11">
        <v>43.43</v>
      </c>
      <c r="K423" s="10">
        <v>20</v>
      </c>
      <c r="L423" s="9" t="s">
        <v>24</v>
      </c>
      <c r="M423" s="9">
        <v>1</v>
      </c>
      <c r="N423" s="11">
        <v>39.61</v>
      </c>
      <c r="O423" s="26" t="s">
        <v>20</v>
      </c>
      <c r="P423" s="14">
        <f t="shared" si="6"/>
        <v>0.55494505494505497</v>
      </c>
      <c r="Q423" s="17">
        <f>Table1[[#This Row],[Price]]-Table1[[#This Row],[Competitor Pricing]]</f>
        <v>3.8200000000000003</v>
      </c>
    </row>
    <row r="424" spans="1:17" x14ac:dyDescent="0.3">
      <c r="A424" s="20">
        <v>44566</v>
      </c>
      <c r="B424" s="6" t="s">
        <v>53</v>
      </c>
      <c r="C424" s="6" t="s">
        <v>25</v>
      </c>
      <c r="D424" s="6" t="s">
        <v>31</v>
      </c>
      <c r="E424" s="6" t="s">
        <v>18</v>
      </c>
      <c r="F424" s="7">
        <v>274</v>
      </c>
      <c r="G424" s="7">
        <v>263</v>
      </c>
      <c r="H424" s="7">
        <v>91</v>
      </c>
      <c r="I424" s="8">
        <v>257.45999999999998</v>
      </c>
      <c r="J424" s="8">
        <v>30.78</v>
      </c>
      <c r="K424" s="7">
        <v>10</v>
      </c>
      <c r="L424" s="6" t="s">
        <v>44</v>
      </c>
      <c r="M424" s="6">
        <v>0</v>
      </c>
      <c r="N424" s="8">
        <v>34.67</v>
      </c>
      <c r="O424" s="25" t="s">
        <v>27</v>
      </c>
      <c r="P424" s="14">
        <f t="shared" si="6"/>
        <v>0.95985401459854014</v>
      </c>
      <c r="Q424" s="17">
        <f>Table1[[#This Row],[Price]]-Table1[[#This Row],[Competitor Pricing]]</f>
        <v>-3.8900000000000006</v>
      </c>
    </row>
    <row r="425" spans="1:17" x14ac:dyDescent="0.3">
      <c r="A425" s="21">
        <v>44566</v>
      </c>
      <c r="B425" s="9" t="s">
        <v>53</v>
      </c>
      <c r="C425" s="9" t="s">
        <v>28</v>
      </c>
      <c r="D425" s="9" t="s">
        <v>36</v>
      </c>
      <c r="E425" s="9" t="s">
        <v>18</v>
      </c>
      <c r="F425" s="10">
        <v>148</v>
      </c>
      <c r="G425" s="10">
        <v>32</v>
      </c>
      <c r="H425" s="10">
        <v>142</v>
      </c>
      <c r="I425" s="11">
        <v>25.88</v>
      </c>
      <c r="J425" s="11">
        <v>82.85</v>
      </c>
      <c r="K425" s="10">
        <v>5</v>
      </c>
      <c r="L425" s="9" t="s">
        <v>24</v>
      </c>
      <c r="M425" s="9">
        <v>0</v>
      </c>
      <c r="N425" s="11">
        <v>78.98</v>
      </c>
      <c r="O425" s="26" t="s">
        <v>20</v>
      </c>
      <c r="P425" s="14">
        <f t="shared" si="6"/>
        <v>0.21621621621621623</v>
      </c>
      <c r="Q425" s="17">
        <f>Table1[[#This Row],[Price]]-Table1[[#This Row],[Competitor Pricing]]</f>
        <v>3.8699999999999903</v>
      </c>
    </row>
    <row r="426" spans="1:17" x14ac:dyDescent="0.3">
      <c r="A426" s="20">
        <v>44566</v>
      </c>
      <c r="B426" s="6" t="s">
        <v>53</v>
      </c>
      <c r="C426" s="6" t="s">
        <v>30</v>
      </c>
      <c r="D426" s="6" t="s">
        <v>38</v>
      </c>
      <c r="E426" s="6" t="s">
        <v>26</v>
      </c>
      <c r="F426" s="7">
        <v>241</v>
      </c>
      <c r="G426" s="7">
        <v>209</v>
      </c>
      <c r="H426" s="7">
        <v>36</v>
      </c>
      <c r="I426" s="8">
        <v>212.58</v>
      </c>
      <c r="J426" s="8">
        <v>87.11</v>
      </c>
      <c r="K426" s="7">
        <v>0</v>
      </c>
      <c r="L426" s="6" t="s">
        <v>29</v>
      </c>
      <c r="M426" s="6">
        <v>1</v>
      </c>
      <c r="N426" s="8">
        <v>83.23</v>
      </c>
      <c r="O426" s="25" t="s">
        <v>39</v>
      </c>
      <c r="P426" s="14">
        <f t="shared" si="6"/>
        <v>0.86721991701244816</v>
      </c>
      <c r="Q426" s="17">
        <f>Table1[[#This Row],[Price]]-Table1[[#This Row],[Competitor Pricing]]</f>
        <v>3.8799999999999955</v>
      </c>
    </row>
    <row r="427" spans="1:17" x14ac:dyDescent="0.3">
      <c r="A427" s="21">
        <v>44566</v>
      </c>
      <c r="B427" s="9" t="s">
        <v>53</v>
      </c>
      <c r="C427" s="9" t="s">
        <v>33</v>
      </c>
      <c r="D427" s="9" t="s">
        <v>17</v>
      </c>
      <c r="E427" s="9" t="s">
        <v>26</v>
      </c>
      <c r="F427" s="10">
        <v>131</v>
      </c>
      <c r="G427" s="10">
        <v>24</v>
      </c>
      <c r="H427" s="10">
        <v>176</v>
      </c>
      <c r="I427" s="11">
        <v>22.17</v>
      </c>
      <c r="J427" s="11">
        <v>56.68</v>
      </c>
      <c r="K427" s="10">
        <v>5</v>
      </c>
      <c r="L427" s="9" t="s">
        <v>29</v>
      </c>
      <c r="M427" s="9">
        <v>0</v>
      </c>
      <c r="N427" s="11">
        <v>60.18</v>
      </c>
      <c r="O427" s="26" t="s">
        <v>39</v>
      </c>
      <c r="P427" s="14">
        <f t="shared" si="6"/>
        <v>0.18320610687022901</v>
      </c>
      <c r="Q427" s="17">
        <f>Table1[[#This Row],[Price]]-Table1[[#This Row],[Competitor Pricing]]</f>
        <v>-3.5</v>
      </c>
    </row>
    <row r="428" spans="1:17" x14ac:dyDescent="0.3">
      <c r="A428" s="20">
        <v>44566</v>
      </c>
      <c r="B428" s="6" t="s">
        <v>53</v>
      </c>
      <c r="C428" s="6" t="s">
        <v>35</v>
      </c>
      <c r="D428" s="6" t="s">
        <v>17</v>
      </c>
      <c r="E428" s="6" t="s">
        <v>23</v>
      </c>
      <c r="F428" s="7">
        <v>80</v>
      </c>
      <c r="G428" s="7">
        <v>20</v>
      </c>
      <c r="H428" s="7">
        <v>176</v>
      </c>
      <c r="I428" s="8">
        <v>34.049999999999997</v>
      </c>
      <c r="J428" s="8">
        <v>80.010000000000005</v>
      </c>
      <c r="K428" s="7">
        <v>5</v>
      </c>
      <c r="L428" s="6" t="s">
        <v>19</v>
      </c>
      <c r="M428" s="6">
        <v>1</v>
      </c>
      <c r="N428" s="8">
        <v>80.650000000000006</v>
      </c>
      <c r="O428" s="25" t="s">
        <v>34</v>
      </c>
      <c r="P428" s="14">
        <f t="shared" si="6"/>
        <v>0.25</v>
      </c>
      <c r="Q428" s="17">
        <f>Table1[[#This Row],[Price]]-Table1[[#This Row],[Competitor Pricing]]</f>
        <v>-0.64000000000000057</v>
      </c>
    </row>
    <row r="429" spans="1:17" x14ac:dyDescent="0.3">
      <c r="A429" s="21">
        <v>44566</v>
      </c>
      <c r="B429" s="9" t="s">
        <v>53</v>
      </c>
      <c r="C429" s="9" t="s">
        <v>37</v>
      </c>
      <c r="D429" s="9" t="s">
        <v>38</v>
      </c>
      <c r="E429" s="9" t="s">
        <v>32</v>
      </c>
      <c r="F429" s="10">
        <v>483</v>
      </c>
      <c r="G429" s="10">
        <v>148</v>
      </c>
      <c r="H429" s="10">
        <v>111</v>
      </c>
      <c r="I429" s="11">
        <v>145.1</v>
      </c>
      <c r="J429" s="11">
        <v>41.24</v>
      </c>
      <c r="K429" s="10">
        <v>0</v>
      </c>
      <c r="L429" s="9" t="s">
        <v>29</v>
      </c>
      <c r="M429" s="9">
        <v>1</v>
      </c>
      <c r="N429" s="11">
        <v>44.9</v>
      </c>
      <c r="O429" s="26" t="s">
        <v>20</v>
      </c>
      <c r="P429" s="14">
        <f t="shared" si="6"/>
        <v>0.30641821946169773</v>
      </c>
      <c r="Q429" s="17">
        <f>Table1[[#This Row],[Price]]-Table1[[#This Row],[Competitor Pricing]]</f>
        <v>-3.6599999999999966</v>
      </c>
    </row>
    <row r="430" spans="1:17" x14ac:dyDescent="0.3">
      <c r="A430" s="20">
        <v>44566</v>
      </c>
      <c r="B430" s="6" t="s">
        <v>53</v>
      </c>
      <c r="C430" s="6" t="s">
        <v>40</v>
      </c>
      <c r="D430" s="6" t="s">
        <v>22</v>
      </c>
      <c r="E430" s="6" t="s">
        <v>26</v>
      </c>
      <c r="F430" s="7">
        <v>228</v>
      </c>
      <c r="G430" s="7">
        <v>100</v>
      </c>
      <c r="H430" s="7">
        <v>183</v>
      </c>
      <c r="I430" s="8">
        <v>109.92</v>
      </c>
      <c r="J430" s="8">
        <v>96.96</v>
      </c>
      <c r="K430" s="7">
        <v>5</v>
      </c>
      <c r="L430" s="6" t="s">
        <v>29</v>
      </c>
      <c r="M430" s="6">
        <v>1</v>
      </c>
      <c r="N430" s="8">
        <v>98.62</v>
      </c>
      <c r="O430" s="25" t="s">
        <v>39</v>
      </c>
      <c r="P430" s="14">
        <f t="shared" si="6"/>
        <v>0.43859649122807015</v>
      </c>
      <c r="Q430" s="17">
        <f>Table1[[#This Row],[Price]]-Table1[[#This Row],[Competitor Pricing]]</f>
        <v>-1.6600000000000108</v>
      </c>
    </row>
    <row r="431" spans="1:17" x14ac:dyDescent="0.3">
      <c r="A431" s="21">
        <v>44566</v>
      </c>
      <c r="B431" s="9" t="s">
        <v>53</v>
      </c>
      <c r="C431" s="9" t="s">
        <v>41</v>
      </c>
      <c r="D431" s="9" t="s">
        <v>22</v>
      </c>
      <c r="E431" s="9" t="s">
        <v>32</v>
      </c>
      <c r="F431" s="10">
        <v>202</v>
      </c>
      <c r="G431" s="10">
        <v>129</v>
      </c>
      <c r="H431" s="10">
        <v>55</v>
      </c>
      <c r="I431" s="11">
        <v>119.12</v>
      </c>
      <c r="J431" s="11">
        <v>87.69</v>
      </c>
      <c r="K431" s="10">
        <v>20</v>
      </c>
      <c r="L431" s="9" t="s">
        <v>44</v>
      </c>
      <c r="M431" s="9">
        <v>0</v>
      </c>
      <c r="N431" s="11">
        <v>83.87</v>
      </c>
      <c r="O431" s="26" t="s">
        <v>20</v>
      </c>
      <c r="P431" s="14">
        <f t="shared" si="6"/>
        <v>0.63861386138613863</v>
      </c>
      <c r="Q431" s="17">
        <f>Table1[[#This Row],[Price]]-Table1[[#This Row],[Competitor Pricing]]</f>
        <v>3.8199999999999932</v>
      </c>
    </row>
    <row r="432" spans="1:17" x14ac:dyDescent="0.3">
      <c r="A432" s="20">
        <v>44566</v>
      </c>
      <c r="B432" s="6" t="s">
        <v>53</v>
      </c>
      <c r="C432" s="6" t="s">
        <v>42</v>
      </c>
      <c r="D432" s="6" t="s">
        <v>36</v>
      </c>
      <c r="E432" s="6" t="s">
        <v>32</v>
      </c>
      <c r="F432" s="7">
        <v>440</v>
      </c>
      <c r="G432" s="7">
        <v>257</v>
      </c>
      <c r="H432" s="7">
        <v>41</v>
      </c>
      <c r="I432" s="8">
        <v>266.89</v>
      </c>
      <c r="J432" s="8">
        <v>74.45</v>
      </c>
      <c r="K432" s="7">
        <v>5</v>
      </c>
      <c r="L432" s="6" t="s">
        <v>29</v>
      </c>
      <c r="M432" s="6">
        <v>1</v>
      </c>
      <c r="N432" s="8">
        <v>76.989999999999995</v>
      </c>
      <c r="O432" s="25" t="s">
        <v>39</v>
      </c>
      <c r="P432" s="14">
        <f t="shared" si="6"/>
        <v>0.58409090909090911</v>
      </c>
      <c r="Q432" s="17">
        <f>Table1[[#This Row],[Price]]-Table1[[#This Row],[Competitor Pricing]]</f>
        <v>-2.539999999999992</v>
      </c>
    </row>
    <row r="433" spans="1:17" x14ac:dyDescent="0.3">
      <c r="A433" s="21">
        <v>44566</v>
      </c>
      <c r="B433" s="9" t="s">
        <v>53</v>
      </c>
      <c r="C433" s="9" t="s">
        <v>43</v>
      </c>
      <c r="D433" s="9" t="s">
        <v>17</v>
      </c>
      <c r="E433" s="9" t="s">
        <v>26</v>
      </c>
      <c r="F433" s="10">
        <v>264</v>
      </c>
      <c r="G433" s="10">
        <v>262</v>
      </c>
      <c r="H433" s="10">
        <v>29</v>
      </c>
      <c r="I433" s="11">
        <v>269.58999999999997</v>
      </c>
      <c r="J433" s="11">
        <v>53.28</v>
      </c>
      <c r="K433" s="10">
        <v>5</v>
      </c>
      <c r="L433" s="9" t="s">
        <v>19</v>
      </c>
      <c r="M433" s="9">
        <v>0</v>
      </c>
      <c r="N433" s="11">
        <v>56.77</v>
      </c>
      <c r="O433" s="26" t="s">
        <v>27</v>
      </c>
      <c r="P433" s="14">
        <f t="shared" si="6"/>
        <v>0.99242424242424243</v>
      </c>
      <c r="Q433" s="17">
        <f>Table1[[#This Row],[Price]]-Table1[[#This Row],[Competitor Pricing]]</f>
        <v>-3.490000000000002</v>
      </c>
    </row>
    <row r="434" spans="1:17" x14ac:dyDescent="0.3">
      <c r="A434" s="20">
        <v>44566</v>
      </c>
      <c r="B434" s="6" t="s">
        <v>53</v>
      </c>
      <c r="C434" s="6" t="s">
        <v>45</v>
      </c>
      <c r="D434" s="6" t="s">
        <v>22</v>
      </c>
      <c r="E434" s="6" t="s">
        <v>32</v>
      </c>
      <c r="F434" s="7">
        <v>296</v>
      </c>
      <c r="G434" s="7">
        <v>200</v>
      </c>
      <c r="H434" s="7">
        <v>20</v>
      </c>
      <c r="I434" s="8">
        <v>214.64</v>
      </c>
      <c r="J434" s="8">
        <v>25.38</v>
      </c>
      <c r="K434" s="7">
        <v>15</v>
      </c>
      <c r="L434" s="6" t="s">
        <v>29</v>
      </c>
      <c r="M434" s="6">
        <v>1</v>
      </c>
      <c r="N434" s="8">
        <v>25.99</v>
      </c>
      <c r="O434" s="25" t="s">
        <v>39</v>
      </c>
      <c r="P434" s="14">
        <f t="shared" si="6"/>
        <v>0.67567567567567566</v>
      </c>
      <c r="Q434" s="17">
        <f>Table1[[#This Row],[Price]]-Table1[[#This Row],[Competitor Pricing]]</f>
        <v>-0.60999999999999943</v>
      </c>
    </row>
    <row r="435" spans="1:17" x14ac:dyDescent="0.3">
      <c r="A435" s="21">
        <v>44566</v>
      </c>
      <c r="B435" s="9" t="s">
        <v>53</v>
      </c>
      <c r="C435" s="9" t="s">
        <v>46</v>
      </c>
      <c r="D435" s="9" t="s">
        <v>17</v>
      </c>
      <c r="E435" s="9" t="s">
        <v>26</v>
      </c>
      <c r="F435" s="10">
        <v>201</v>
      </c>
      <c r="G435" s="10">
        <v>56</v>
      </c>
      <c r="H435" s="10">
        <v>187</v>
      </c>
      <c r="I435" s="11">
        <v>69.260000000000005</v>
      </c>
      <c r="J435" s="11">
        <v>23.84</v>
      </c>
      <c r="K435" s="10">
        <v>10</v>
      </c>
      <c r="L435" s="9" t="s">
        <v>24</v>
      </c>
      <c r="M435" s="9">
        <v>1</v>
      </c>
      <c r="N435" s="11">
        <v>19.73</v>
      </c>
      <c r="O435" s="26" t="s">
        <v>39</v>
      </c>
      <c r="P435" s="14">
        <f t="shared" si="6"/>
        <v>0.27860696517412936</v>
      </c>
      <c r="Q435" s="17">
        <f>Table1[[#This Row],[Price]]-Table1[[#This Row],[Competitor Pricing]]</f>
        <v>4.1099999999999994</v>
      </c>
    </row>
    <row r="436" spans="1:17" x14ac:dyDescent="0.3">
      <c r="A436" s="20">
        <v>44566</v>
      </c>
      <c r="B436" s="6" t="s">
        <v>53</v>
      </c>
      <c r="C436" s="6" t="s">
        <v>47</v>
      </c>
      <c r="D436" s="6" t="s">
        <v>38</v>
      </c>
      <c r="E436" s="6" t="s">
        <v>23</v>
      </c>
      <c r="F436" s="7">
        <v>70</v>
      </c>
      <c r="G436" s="7">
        <v>24</v>
      </c>
      <c r="H436" s="7">
        <v>28</v>
      </c>
      <c r="I436" s="8">
        <v>17.010000000000002</v>
      </c>
      <c r="J436" s="8">
        <v>52.21</v>
      </c>
      <c r="K436" s="7">
        <v>20</v>
      </c>
      <c r="L436" s="6" t="s">
        <v>29</v>
      </c>
      <c r="M436" s="6">
        <v>0</v>
      </c>
      <c r="N436" s="8">
        <v>56.17</v>
      </c>
      <c r="O436" s="25" t="s">
        <v>27</v>
      </c>
      <c r="P436" s="14">
        <f t="shared" si="6"/>
        <v>0.34285714285714286</v>
      </c>
      <c r="Q436" s="17">
        <f>Table1[[#This Row],[Price]]-Table1[[#This Row],[Competitor Pricing]]</f>
        <v>-3.9600000000000009</v>
      </c>
    </row>
    <row r="437" spans="1:17" x14ac:dyDescent="0.3">
      <c r="A437" s="21">
        <v>44566</v>
      </c>
      <c r="B437" s="9" t="s">
        <v>53</v>
      </c>
      <c r="C437" s="9" t="s">
        <v>48</v>
      </c>
      <c r="D437" s="9" t="s">
        <v>36</v>
      </c>
      <c r="E437" s="9" t="s">
        <v>26</v>
      </c>
      <c r="F437" s="10">
        <v>176</v>
      </c>
      <c r="G437" s="10">
        <v>105</v>
      </c>
      <c r="H437" s="10">
        <v>174</v>
      </c>
      <c r="I437" s="11">
        <v>106.4</v>
      </c>
      <c r="J437" s="11">
        <v>79.34</v>
      </c>
      <c r="K437" s="10">
        <v>20</v>
      </c>
      <c r="L437" s="9" t="s">
        <v>29</v>
      </c>
      <c r="M437" s="9">
        <v>0</v>
      </c>
      <c r="N437" s="11">
        <v>79.16</v>
      </c>
      <c r="O437" s="26" t="s">
        <v>39</v>
      </c>
      <c r="P437" s="14">
        <f t="shared" si="6"/>
        <v>0.59659090909090906</v>
      </c>
      <c r="Q437" s="17">
        <f>Table1[[#This Row],[Price]]-Table1[[#This Row],[Competitor Pricing]]</f>
        <v>0.18000000000000682</v>
      </c>
    </row>
    <row r="438" spans="1:17" x14ac:dyDescent="0.3">
      <c r="A438" s="20">
        <v>44566</v>
      </c>
      <c r="B438" s="6" t="s">
        <v>53</v>
      </c>
      <c r="C438" s="6" t="s">
        <v>49</v>
      </c>
      <c r="D438" s="6" t="s">
        <v>17</v>
      </c>
      <c r="E438" s="6" t="s">
        <v>32</v>
      </c>
      <c r="F438" s="7">
        <v>399</v>
      </c>
      <c r="G438" s="7">
        <v>294</v>
      </c>
      <c r="H438" s="7">
        <v>100</v>
      </c>
      <c r="I438" s="8">
        <v>302.77</v>
      </c>
      <c r="J438" s="8">
        <v>13.13</v>
      </c>
      <c r="K438" s="7">
        <v>15</v>
      </c>
      <c r="L438" s="6" t="s">
        <v>44</v>
      </c>
      <c r="M438" s="6">
        <v>0</v>
      </c>
      <c r="N438" s="8">
        <v>9.4600000000000009</v>
      </c>
      <c r="O438" s="25" t="s">
        <v>27</v>
      </c>
      <c r="P438" s="14">
        <f t="shared" si="6"/>
        <v>0.73684210526315785</v>
      </c>
      <c r="Q438" s="17">
        <f>Table1[[#This Row],[Price]]-Table1[[#This Row],[Competitor Pricing]]</f>
        <v>3.67</v>
      </c>
    </row>
    <row r="439" spans="1:17" x14ac:dyDescent="0.3">
      <c r="A439" s="21">
        <v>44566</v>
      </c>
      <c r="B439" s="9" t="s">
        <v>53</v>
      </c>
      <c r="C439" s="9" t="s">
        <v>50</v>
      </c>
      <c r="D439" s="9" t="s">
        <v>17</v>
      </c>
      <c r="E439" s="9" t="s">
        <v>32</v>
      </c>
      <c r="F439" s="10">
        <v>294</v>
      </c>
      <c r="G439" s="10">
        <v>142</v>
      </c>
      <c r="H439" s="10">
        <v>63</v>
      </c>
      <c r="I439" s="11">
        <v>154.25</v>
      </c>
      <c r="J439" s="11">
        <v>23.28</v>
      </c>
      <c r="K439" s="10">
        <v>15</v>
      </c>
      <c r="L439" s="9" t="s">
        <v>29</v>
      </c>
      <c r="M439" s="9">
        <v>1</v>
      </c>
      <c r="N439" s="11">
        <v>23.86</v>
      </c>
      <c r="O439" s="26" t="s">
        <v>20</v>
      </c>
      <c r="P439" s="14">
        <f t="shared" si="6"/>
        <v>0.48299319727891155</v>
      </c>
      <c r="Q439" s="17">
        <f>Table1[[#This Row],[Price]]-Table1[[#This Row],[Competitor Pricing]]</f>
        <v>-0.57999999999999829</v>
      </c>
    </row>
    <row r="440" spans="1:17" x14ac:dyDescent="0.3">
      <c r="A440" s="20">
        <v>44566</v>
      </c>
      <c r="B440" s="6" t="s">
        <v>53</v>
      </c>
      <c r="C440" s="6" t="s">
        <v>51</v>
      </c>
      <c r="D440" s="6" t="s">
        <v>31</v>
      </c>
      <c r="E440" s="6" t="s">
        <v>23</v>
      </c>
      <c r="F440" s="7">
        <v>222</v>
      </c>
      <c r="G440" s="7">
        <v>55</v>
      </c>
      <c r="H440" s="7">
        <v>27</v>
      </c>
      <c r="I440" s="8">
        <v>68.88</v>
      </c>
      <c r="J440" s="8">
        <v>67.3</v>
      </c>
      <c r="K440" s="7">
        <v>10</v>
      </c>
      <c r="L440" s="6" t="s">
        <v>24</v>
      </c>
      <c r="M440" s="6">
        <v>1</v>
      </c>
      <c r="N440" s="8">
        <v>66.27</v>
      </c>
      <c r="O440" s="25" t="s">
        <v>39</v>
      </c>
      <c r="P440" s="14">
        <f t="shared" si="6"/>
        <v>0.24774774774774774</v>
      </c>
      <c r="Q440" s="17">
        <f>Table1[[#This Row],[Price]]-Table1[[#This Row],[Competitor Pricing]]</f>
        <v>1.0300000000000011</v>
      </c>
    </row>
    <row r="441" spans="1:17" x14ac:dyDescent="0.3">
      <c r="A441" s="21">
        <v>44566</v>
      </c>
      <c r="B441" s="9" t="s">
        <v>53</v>
      </c>
      <c r="C441" s="9" t="s">
        <v>52</v>
      </c>
      <c r="D441" s="9" t="s">
        <v>31</v>
      </c>
      <c r="E441" s="9" t="s">
        <v>23</v>
      </c>
      <c r="F441" s="10">
        <v>123</v>
      </c>
      <c r="G441" s="10">
        <v>24</v>
      </c>
      <c r="H441" s="10">
        <v>110</v>
      </c>
      <c r="I441" s="11">
        <v>27.69</v>
      </c>
      <c r="J441" s="11">
        <v>17.350000000000001</v>
      </c>
      <c r="K441" s="10">
        <v>20</v>
      </c>
      <c r="L441" s="9" t="s">
        <v>29</v>
      </c>
      <c r="M441" s="9">
        <v>1</v>
      </c>
      <c r="N441" s="11">
        <v>13.22</v>
      </c>
      <c r="O441" s="26" t="s">
        <v>20</v>
      </c>
      <c r="P441" s="14">
        <f t="shared" si="6"/>
        <v>0.1951219512195122</v>
      </c>
      <c r="Q441" s="17">
        <f>Table1[[#This Row],[Price]]-Table1[[#This Row],[Competitor Pricing]]</f>
        <v>4.1300000000000008</v>
      </c>
    </row>
    <row r="442" spans="1:17" x14ac:dyDescent="0.3">
      <c r="A442" s="20">
        <v>44566</v>
      </c>
      <c r="B442" s="6" t="s">
        <v>54</v>
      </c>
      <c r="C442" s="6" t="s">
        <v>16</v>
      </c>
      <c r="D442" s="6" t="s">
        <v>31</v>
      </c>
      <c r="E442" s="6" t="s">
        <v>26</v>
      </c>
      <c r="F442" s="7">
        <v>388</v>
      </c>
      <c r="G442" s="7">
        <v>53</v>
      </c>
      <c r="H442" s="7">
        <v>55</v>
      </c>
      <c r="I442" s="8">
        <v>47.35</v>
      </c>
      <c r="J442" s="8">
        <v>93.06</v>
      </c>
      <c r="K442" s="7">
        <v>0</v>
      </c>
      <c r="L442" s="6" t="s">
        <v>44</v>
      </c>
      <c r="M442" s="6">
        <v>1</v>
      </c>
      <c r="N442" s="8">
        <v>88.15</v>
      </c>
      <c r="O442" s="25" t="s">
        <v>27</v>
      </c>
      <c r="P442" s="14">
        <f t="shared" si="6"/>
        <v>0.13659793814432988</v>
      </c>
      <c r="Q442" s="17">
        <f>Table1[[#This Row],[Price]]-Table1[[#This Row],[Competitor Pricing]]</f>
        <v>4.9099999999999966</v>
      </c>
    </row>
    <row r="443" spans="1:17" x14ac:dyDescent="0.3">
      <c r="A443" s="21">
        <v>44566</v>
      </c>
      <c r="B443" s="9" t="s">
        <v>54</v>
      </c>
      <c r="C443" s="9" t="s">
        <v>21</v>
      </c>
      <c r="D443" s="9" t="s">
        <v>17</v>
      </c>
      <c r="E443" s="9" t="s">
        <v>23</v>
      </c>
      <c r="F443" s="10">
        <v>191</v>
      </c>
      <c r="G443" s="10">
        <v>189</v>
      </c>
      <c r="H443" s="10">
        <v>177</v>
      </c>
      <c r="I443" s="11">
        <v>187.88</v>
      </c>
      <c r="J443" s="11">
        <v>84.04</v>
      </c>
      <c r="K443" s="10">
        <v>20</v>
      </c>
      <c r="L443" s="9" t="s">
        <v>29</v>
      </c>
      <c r="M443" s="9">
        <v>0</v>
      </c>
      <c r="N443" s="11">
        <v>87.67</v>
      </c>
      <c r="O443" s="26" t="s">
        <v>34</v>
      </c>
      <c r="P443" s="14">
        <f t="shared" si="6"/>
        <v>0.98952879581151831</v>
      </c>
      <c r="Q443" s="17">
        <f>Table1[[#This Row],[Price]]-Table1[[#This Row],[Competitor Pricing]]</f>
        <v>-3.6299999999999955</v>
      </c>
    </row>
    <row r="444" spans="1:17" x14ac:dyDescent="0.3">
      <c r="A444" s="20">
        <v>44566</v>
      </c>
      <c r="B444" s="6" t="s">
        <v>54</v>
      </c>
      <c r="C444" s="6" t="s">
        <v>25</v>
      </c>
      <c r="D444" s="6" t="s">
        <v>36</v>
      </c>
      <c r="E444" s="6" t="s">
        <v>32</v>
      </c>
      <c r="F444" s="7">
        <v>370</v>
      </c>
      <c r="G444" s="7">
        <v>146</v>
      </c>
      <c r="H444" s="7">
        <v>68</v>
      </c>
      <c r="I444" s="8">
        <v>155.15</v>
      </c>
      <c r="J444" s="8">
        <v>25.75</v>
      </c>
      <c r="K444" s="7">
        <v>0</v>
      </c>
      <c r="L444" s="6" t="s">
        <v>19</v>
      </c>
      <c r="M444" s="6">
        <v>1</v>
      </c>
      <c r="N444" s="8">
        <v>30.21</v>
      </c>
      <c r="O444" s="25" t="s">
        <v>27</v>
      </c>
      <c r="P444" s="14">
        <f t="shared" si="6"/>
        <v>0.39459459459459462</v>
      </c>
      <c r="Q444" s="17">
        <f>Table1[[#This Row],[Price]]-Table1[[#This Row],[Competitor Pricing]]</f>
        <v>-4.4600000000000009</v>
      </c>
    </row>
    <row r="445" spans="1:17" x14ac:dyDescent="0.3">
      <c r="A445" s="21">
        <v>44566</v>
      </c>
      <c r="B445" s="9" t="s">
        <v>54</v>
      </c>
      <c r="C445" s="9" t="s">
        <v>28</v>
      </c>
      <c r="D445" s="9" t="s">
        <v>36</v>
      </c>
      <c r="E445" s="9" t="s">
        <v>32</v>
      </c>
      <c r="F445" s="10">
        <v>463</v>
      </c>
      <c r="G445" s="10">
        <v>186</v>
      </c>
      <c r="H445" s="10">
        <v>77</v>
      </c>
      <c r="I445" s="11">
        <v>188.51</v>
      </c>
      <c r="J445" s="11">
        <v>76.319999999999993</v>
      </c>
      <c r="K445" s="10">
        <v>20</v>
      </c>
      <c r="L445" s="9" t="s">
        <v>29</v>
      </c>
      <c r="M445" s="9">
        <v>0</v>
      </c>
      <c r="N445" s="11">
        <v>79.040000000000006</v>
      </c>
      <c r="O445" s="26" t="s">
        <v>27</v>
      </c>
      <c r="P445" s="14">
        <f t="shared" si="6"/>
        <v>0.40172786177105829</v>
      </c>
      <c r="Q445" s="17">
        <f>Table1[[#This Row],[Price]]-Table1[[#This Row],[Competitor Pricing]]</f>
        <v>-2.7200000000000131</v>
      </c>
    </row>
    <row r="446" spans="1:17" x14ac:dyDescent="0.3">
      <c r="A446" s="20">
        <v>44566</v>
      </c>
      <c r="B446" s="6" t="s">
        <v>54</v>
      </c>
      <c r="C446" s="6" t="s">
        <v>30</v>
      </c>
      <c r="D446" s="6" t="s">
        <v>22</v>
      </c>
      <c r="E446" s="6" t="s">
        <v>26</v>
      </c>
      <c r="F446" s="7">
        <v>140</v>
      </c>
      <c r="G446" s="7">
        <v>77</v>
      </c>
      <c r="H446" s="7">
        <v>149</v>
      </c>
      <c r="I446" s="8">
        <v>90.49</v>
      </c>
      <c r="J446" s="8">
        <v>49.52</v>
      </c>
      <c r="K446" s="7">
        <v>20</v>
      </c>
      <c r="L446" s="6" t="s">
        <v>44</v>
      </c>
      <c r="M446" s="6">
        <v>1</v>
      </c>
      <c r="N446" s="8">
        <v>54.31</v>
      </c>
      <c r="O446" s="25" t="s">
        <v>39</v>
      </c>
      <c r="P446" s="14">
        <f t="shared" si="6"/>
        <v>0.55000000000000004</v>
      </c>
      <c r="Q446" s="17">
        <f>Table1[[#This Row],[Price]]-Table1[[#This Row],[Competitor Pricing]]</f>
        <v>-4.7899999999999991</v>
      </c>
    </row>
    <row r="447" spans="1:17" x14ac:dyDescent="0.3">
      <c r="A447" s="21">
        <v>44566</v>
      </c>
      <c r="B447" s="9" t="s">
        <v>54</v>
      </c>
      <c r="C447" s="9" t="s">
        <v>33</v>
      </c>
      <c r="D447" s="9" t="s">
        <v>36</v>
      </c>
      <c r="E447" s="9" t="s">
        <v>32</v>
      </c>
      <c r="F447" s="10">
        <v>314</v>
      </c>
      <c r="G447" s="10">
        <v>225</v>
      </c>
      <c r="H447" s="10">
        <v>135</v>
      </c>
      <c r="I447" s="11">
        <v>220.06</v>
      </c>
      <c r="J447" s="11">
        <v>93.81</v>
      </c>
      <c r="K447" s="10">
        <v>0</v>
      </c>
      <c r="L447" s="9" t="s">
        <v>44</v>
      </c>
      <c r="M447" s="9">
        <v>0</v>
      </c>
      <c r="N447" s="11">
        <v>89.3</v>
      </c>
      <c r="O447" s="26" t="s">
        <v>20</v>
      </c>
      <c r="P447" s="14">
        <f t="shared" si="6"/>
        <v>0.71656050955414008</v>
      </c>
      <c r="Q447" s="17">
        <f>Table1[[#This Row],[Price]]-Table1[[#This Row],[Competitor Pricing]]</f>
        <v>4.5100000000000051</v>
      </c>
    </row>
    <row r="448" spans="1:17" x14ac:dyDescent="0.3">
      <c r="A448" s="20">
        <v>44566</v>
      </c>
      <c r="B448" s="6" t="s">
        <v>54</v>
      </c>
      <c r="C448" s="6" t="s">
        <v>35</v>
      </c>
      <c r="D448" s="6" t="s">
        <v>38</v>
      </c>
      <c r="E448" s="6" t="s">
        <v>32</v>
      </c>
      <c r="F448" s="7">
        <v>79</v>
      </c>
      <c r="G448" s="7">
        <v>66</v>
      </c>
      <c r="H448" s="7">
        <v>69</v>
      </c>
      <c r="I448" s="8">
        <v>74.14</v>
      </c>
      <c r="J448" s="8">
        <v>76.7</v>
      </c>
      <c r="K448" s="7">
        <v>10</v>
      </c>
      <c r="L448" s="6" t="s">
        <v>19</v>
      </c>
      <c r="M448" s="6">
        <v>1</v>
      </c>
      <c r="N448" s="8">
        <v>73.33</v>
      </c>
      <c r="O448" s="25" t="s">
        <v>27</v>
      </c>
      <c r="P448" s="14">
        <f t="shared" si="6"/>
        <v>0.83544303797468356</v>
      </c>
      <c r="Q448" s="17">
        <f>Table1[[#This Row],[Price]]-Table1[[#This Row],[Competitor Pricing]]</f>
        <v>3.3700000000000045</v>
      </c>
    </row>
    <row r="449" spans="1:17" x14ac:dyDescent="0.3">
      <c r="A449" s="21">
        <v>44566</v>
      </c>
      <c r="B449" s="9" t="s">
        <v>54</v>
      </c>
      <c r="C449" s="9" t="s">
        <v>37</v>
      </c>
      <c r="D449" s="9" t="s">
        <v>31</v>
      </c>
      <c r="E449" s="9" t="s">
        <v>23</v>
      </c>
      <c r="F449" s="10">
        <v>411</v>
      </c>
      <c r="G449" s="10">
        <v>35</v>
      </c>
      <c r="H449" s="10">
        <v>83</v>
      </c>
      <c r="I449" s="11">
        <v>35.46</v>
      </c>
      <c r="J449" s="11">
        <v>24.28</v>
      </c>
      <c r="K449" s="10">
        <v>15</v>
      </c>
      <c r="L449" s="9" t="s">
        <v>44</v>
      </c>
      <c r="M449" s="9">
        <v>1</v>
      </c>
      <c r="N449" s="11">
        <v>21.81</v>
      </c>
      <c r="O449" s="26" t="s">
        <v>34</v>
      </c>
      <c r="P449" s="14">
        <f t="shared" si="6"/>
        <v>8.5158150851581502E-2</v>
      </c>
      <c r="Q449" s="17">
        <f>Table1[[#This Row],[Price]]-Table1[[#This Row],[Competitor Pricing]]</f>
        <v>2.4700000000000024</v>
      </c>
    </row>
    <row r="450" spans="1:17" x14ac:dyDescent="0.3">
      <c r="A450" s="20">
        <v>44566</v>
      </c>
      <c r="B450" s="6" t="s">
        <v>54</v>
      </c>
      <c r="C450" s="6" t="s">
        <v>40</v>
      </c>
      <c r="D450" s="6" t="s">
        <v>31</v>
      </c>
      <c r="E450" s="6" t="s">
        <v>26</v>
      </c>
      <c r="F450" s="7">
        <v>117</v>
      </c>
      <c r="G450" s="7">
        <v>1</v>
      </c>
      <c r="H450" s="7">
        <v>64</v>
      </c>
      <c r="I450" s="8">
        <v>7.16</v>
      </c>
      <c r="J450" s="8">
        <v>13.87</v>
      </c>
      <c r="K450" s="7">
        <v>15</v>
      </c>
      <c r="L450" s="6" t="s">
        <v>19</v>
      </c>
      <c r="M450" s="6">
        <v>1</v>
      </c>
      <c r="N450" s="8">
        <v>14.32</v>
      </c>
      <c r="O450" s="25" t="s">
        <v>39</v>
      </c>
      <c r="P450" s="14">
        <f t="shared" si="6"/>
        <v>8.5470085470085479E-3</v>
      </c>
      <c r="Q450" s="17">
        <f>Table1[[#This Row],[Price]]-Table1[[#This Row],[Competitor Pricing]]</f>
        <v>-0.45000000000000107</v>
      </c>
    </row>
    <row r="451" spans="1:17" x14ac:dyDescent="0.3">
      <c r="A451" s="21">
        <v>44566</v>
      </c>
      <c r="B451" s="9" t="s">
        <v>54</v>
      </c>
      <c r="C451" s="9" t="s">
        <v>41</v>
      </c>
      <c r="D451" s="9" t="s">
        <v>38</v>
      </c>
      <c r="E451" s="9" t="s">
        <v>26</v>
      </c>
      <c r="F451" s="10">
        <v>109</v>
      </c>
      <c r="G451" s="10">
        <v>95</v>
      </c>
      <c r="H451" s="10">
        <v>73</v>
      </c>
      <c r="I451" s="11">
        <v>90.43</v>
      </c>
      <c r="J451" s="11">
        <v>14.93</v>
      </c>
      <c r="K451" s="10">
        <v>10</v>
      </c>
      <c r="L451" s="9" t="s">
        <v>24</v>
      </c>
      <c r="M451" s="9">
        <v>0</v>
      </c>
      <c r="N451" s="11">
        <v>17.34</v>
      </c>
      <c r="O451" s="26" t="s">
        <v>34</v>
      </c>
      <c r="P451" s="14">
        <f t="shared" ref="P451:P501" si="7">G451/F451</f>
        <v>0.87155963302752293</v>
      </c>
      <c r="Q451" s="17">
        <f>Table1[[#This Row],[Price]]-Table1[[#This Row],[Competitor Pricing]]</f>
        <v>-2.41</v>
      </c>
    </row>
    <row r="452" spans="1:17" x14ac:dyDescent="0.3">
      <c r="A452" s="20">
        <v>44566</v>
      </c>
      <c r="B452" s="6" t="s">
        <v>54</v>
      </c>
      <c r="C452" s="6" t="s">
        <v>42</v>
      </c>
      <c r="D452" s="6" t="s">
        <v>31</v>
      </c>
      <c r="E452" s="6" t="s">
        <v>32</v>
      </c>
      <c r="F452" s="7">
        <v>438</v>
      </c>
      <c r="G452" s="7">
        <v>255</v>
      </c>
      <c r="H452" s="7">
        <v>85</v>
      </c>
      <c r="I452" s="8">
        <v>269.91000000000003</v>
      </c>
      <c r="J452" s="8">
        <v>22.22</v>
      </c>
      <c r="K452" s="7">
        <v>10</v>
      </c>
      <c r="L452" s="6" t="s">
        <v>44</v>
      </c>
      <c r="M452" s="6">
        <v>1</v>
      </c>
      <c r="N452" s="8">
        <v>25.17</v>
      </c>
      <c r="O452" s="25" t="s">
        <v>39</v>
      </c>
      <c r="P452" s="14">
        <f t="shared" si="7"/>
        <v>0.5821917808219178</v>
      </c>
      <c r="Q452" s="17">
        <f>Table1[[#This Row],[Price]]-Table1[[#This Row],[Competitor Pricing]]</f>
        <v>-2.9500000000000028</v>
      </c>
    </row>
    <row r="453" spans="1:17" x14ac:dyDescent="0.3">
      <c r="A453" s="21">
        <v>44566</v>
      </c>
      <c r="B453" s="9" t="s">
        <v>54</v>
      </c>
      <c r="C453" s="9" t="s">
        <v>43</v>
      </c>
      <c r="D453" s="9" t="s">
        <v>22</v>
      </c>
      <c r="E453" s="9" t="s">
        <v>32</v>
      </c>
      <c r="F453" s="10">
        <v>480</v>
      </c>
      <c r="G453" s="10">
        <v>132</v>
      </c>
      <c r="H453" s="10">
        <v>174</v>
      </c>
      <c r="I453" s="11">
        <v>122.08</v>
      </c>
      <c r="J453" s="11">
        <v>57.69</v>
      </c>
      <c r="K453" s="10">
        <v>5</v>
      </c>
      <c r="L453" s="9" t="s">
        <v>29</v>
      </c>
      <c r="M453" s="9">
        <v>0</v>
      </c>
      <c r="N453" s="11">
        <v>56.53</v>
      </c>
      <c r="O453" s="26" t="s">
        <v>34</v>
      </c>
      <c r="P453" s="14">
        <f t="shared" si="7"/>
        <v>0.27500000000000002</v>
      </c>
      <c r="Q453" s="17">
        <f>Table1[[#This Row],[Price]]-Table1[[#This Row],[Competitor Pricing]]</f>
        <v>1.1599999999999966</v>
      </c>
    </row>
    <row r="454" spans="1:17" x14ac:dyDescent="0.3">
      <c r="A454" s="20">
        <v>44566</v>
      </c>
      <c r="B454" s="6" t="s">
        <v>54</v>
      </c>
      <c r="C454" s="6" t="s">
        <v>45</v>
      </c>
      <c r="D454" s="6" t="s">
        <v>36</v>
      </c>
      <c r="E454" s="6" t="s">
        <v>32</v>
      </c>
      <c r="F454" s="7">
        <v>284</v>
      </c>
      <c r="G454" s="7">
        <v>234</v>
      </c>
      <c r="H454" s="7">
        <v>168</v>
      </c>
      <c r="I454" s="8">
        <v>232.6</v>
      </c>
      <c r="J454" s="8">
        <v>80.36</v>
      </c>
      <c r="K454" s="7">
        <v>15</v>
      </c>
      <c r="L454" s="6" t="s">
        <v>19</v>
      </c>
      <c r="M454" s="6">
        <v>1</v>
      </c>
      <c r="N454" s="8">
        <v>78.62</v>
      </c>
      <c r="O454" s="25" t="s">
        <v>34</v>
      </c>
      <c r="P454" s="14">
        <f t="shared" si="7"/>
        <v>0.823943661971831</v>
      </c>
      <c r="Q454" s="17">
        <f>Table1[[#This Row],[Price]]-Table1[[#This Row],[Competitor Pricing]]</f>
        <v>1.7399999999999949</v>
      </c>
    </row>
    <row r="455" spans="1:17" x14ac:dyDescent="0.3">
      <c r="A455" s="21">
        <v>44566</v>
      </c>
      <c r="B455" s="9" t="s">
        <v>54</v>
      </c>
      <c r="C455" s="9" t="s">
        <v>46</v>
      </c>
      <c r="D455" s="9" t="s">
        <v>36</v>
      </c>
      <c r="E455" s="9" t="s">
        <v>23</v>
      </c>
      <c r="F455" s="10">
        <v>444</v>
      </c>
      <c r="G455" s="10">
        <v>42</v>
      </c>
      <c r="H455" s="10">
        <v>86</v>
      </c>
      <c r="I455" s="11">
        <v>44.15</v>
      </c>
      <c r="J455" s="11">
        <v>40.6</v>
      </c>
      <c r="K455" s="10">
        <v>10</v>
      </c>
      <c r="L455" s="9" t="s">
        <v>19</v>
      </c>
      <c r="M455" s="9">
        <v>1</v>
      </c>
      <c r="N455" s="11">
        <v>37.42</v>
      </c>
      <c r="O455" s="26" t="s">
        <v>34</v>
      </c>
      <c r="P455" s="14">
        <f t="shared" si="7"/>
        <v>9.45945945945946E-2</v>
      </c>
      <c r="Q455" s="17">
        <f>Table1[[#This Row],[Price]]-Table1[[#This Row],[Competitor Pricing]]</f>
        <v>3.1799999999999997</v>
      </c>
    </row>
    <row r="456" spans="1:17" x14ac:dyDescent="0.3">
      <c r="A456" s="20">
        <v>44566</v>
      </c>
      <c r="B456" s="6" t="s">
        <v>54</v>
      </c>
      <c r="C456" s="6" t="s">
        <v>47</v>
      </c>
      <c r="D456" s="6" t="s">
        <v>36</v>
      </c>
      <c r="E456" s="6" t="s">
        <v>23</v>
      </c>
      <c r="F456" s="7">
        <v>278</v>
      </c>
      <c r="G456" s="7">
        <v>25</v>
      </c>
      <c r="H456" s="7">
        <v>81</v>
      </c>
      <c r="I456" s="8">
        <v>28.28</v>
      </c>
      <c r="J456" s="8">
        <v>86.8</v>
      </c>
      <c r="K456" s="7">
        <v>0</v>
      </c>
      <c r="L456" s="6" t="s">
        <v>44</v>
      </c>
      <c r="M456" s="6">
        <v>0</v>
      </c>
      <c r="N456" s="8">
        <v>90.41</v>
      </c>
      <c r="O456" s="25" t="s">
        <v>20</v>
      </c>
      <c r="P456" s="14">
        <f t="shared" si="7"/>
        <v>8.9928057553956831E-2</v>
      </c>
      <c r="Q456" s="17">
        <f>Table1[[#This Row],[Price]]-Table1[[#This Row],[Competitor Pricing]]</f>
        <v>-3.6099999999999994</v>
      </c>
    </row>
    <row r="457" spans="1:17" x14ac:dyDescent="0.3">
      <c r="A457" s="21">
        <v>44566</v>
      </c>
      <c r="B457" s="9" t="s">
        <v>54</v>
      </c>
      <c r="C457" s="9" t="s">
        <v>48</v>
      </c>
      <c r="D457" s="9" t="s">
        <v>22</v>
      </c>
      <c r="E457" s="9" t="s">
        <v>18</v>
      </c>
      <c r="F457" s="10">
        <v>202</v>
      </c>
      <c r="G457" s="10">
        <v>30</v>
      </c>
      <c r="H457" s="10">
        <v>195</v>
      </c>
      <c r="I457" s="11">
        <v>29.93</v>
      </c>
      <c r="J457" s="11">
        <v>30.33</v>
      </c>
      <c r="K457" s="10">
        <v>15</v>
      </c>
      <c r="L457" s="9" t="s">
        <v>44</v>
      </c>
      <c r="M457" s="9">
        <v>1</v>
      </c>
      <c r="N457" s="11">
        <v>27.66</v>
      </c>
      <c r="O457" s="26" t="s">
        <v>20</v>
      </c>
      <c r="P457" s="14">
        <f t="shared" si="7"/>
        <v>0.14851485148514851</v>
      </c>
      <c r="Q457" s="17">
        <f>Table1[[#This Row],[Price]]-Table1[[#This Row],[Competitor Pricing]]</f>
        <v>2.6699999999999982</v>
      </c>
    </row>
    <row r="458" spans="1:17" x14ac:dyDescent="0.3">
      <c r="A458" s="20">
        <v>44566</v>
      </c>
      <c r="B458" s="6" t="s">
        <v>54</v>
      </c>
      <c r="C458" s="6" t="s">
        <v>49</v>
      </c>
      <c r="D458" s="6" t="s">
        <v>22</v>
      </c>
      <c r="E458" s="6" t="s">
        <v>32</v>
      </c>
      <c r="F458" s="7">
        <v>192</v>
      </c>
      <c r="G458" s="7">
        <v>28</v>
      </c>
      <c r="H458" s="7">
        <v>175</v>
      </c>
      <c r="I458" s="8">
        <v>18.54</v>
      </c>
      <c r="J458" s="8">
        <v>29.03</v>
      </c>
      <c r="K458" s="7">
        <v>0</v>
      </c>
      <c r="L458" s="6" t="s">
        <v>44</v>
      </c>
      <c r="M458" s="6">
        <v>0</v>
      </c>
      <c r="N458" s="8">
        <v>25.22</v>
      </c>
      <c r="O458" s="25" t="s">
        <v>27</v>
      </c>
      <c r="P458" s="14">
        <f t="shared" si="7"/>
        <v>0.14583333333333334</v>
      </c>
      <c r="Q458" s="17">
        <f>Table1[[#This Row],[Price]]-Table1[[#This Row],[Competitor Pricing]]</f>
        <v>3.8100000000000023</v>
      </c>
    </row>
    <row r="459" spans="1:17" x14ac:dyDescent="0.3">
      <c r="A459" s="21">
        <v>44566</v>
      </c>
      <c r="B459" s="9" t="s">
        <v>54</v>
      </c>
      <c r="C459" s="9" t="s">
        <v>50</v>
      </c>
      <c r="D459" s="9" t="s">
        <v>17</v>
      </c>
      <c r="E459" s="9" t="s">
        <v>23</v>
      </c>
      <c r="F459" s="10">
        <v>168</v>
      </c>
      <c r="G459" s="10">
        <v>38</v>
      </c>
      <c r="H459" s="10">
        <v>74</v>
      </c>
      <c r="I459" s="11">
        <v>41.71</v>
      </c>
      <c r="J459" s="11">
        <v>97.97</v>
      </c>
      <c r="K459" s="10">
        <v>15</v>
      </c>
      <c r="L459" s="9" t="s">
        <v>29</v>
      </c>
      <c r="M459" s="9">
        <v>0</v>
      </c>
      <c r="N459" s="11">
        <v>102.22</v>
      </c>
      <c r="O459" s="26" t="s">
        <v>39</v>
      </c>
      <c r="P459" s="14">
        <f t="shared" si="7"/>
        <v>0.22619047619047619</v>
      </c>
      <c r="Q459" s="17">
        <f>Table1[[#This Row],[Price]]-Table1[[#This Row],[Competitor Pricing]]</f>
        <v>-4.25</v>
      </c>
    </row>
    <row r="460" spans="1:17" x14ac:dyDescent="0.3">
      <c r="A460" s="20">
        <v>44566</v>
      </c>
      <c r="B460" s="6" t="s">
        <v>54</v>
      </c>
      <c r="C460" s="6" t="s">
        <v>51</v>
      </c>
      <c r="D460" s="6" t="s">
        <v>22</v>
      </c>
      <c r="E460" s="6" t="s">
        <v>26</v>
      </c>
      <c r="F460" s="7">
        <v>308</v>
      </c>
      <c r="G460" s="7">
        <v>149</v>
      </c>
      <c r="H460" s="7">
        <v>35</v>
      </c>
      <c r="I460" s="8">
        <v>167.46</v>
      </c>
      <c r="J460" s="8">
        <v>31.18</v>
      </c>
      <c r="K460" s="7">
        <v>0</v>
      </c>
      <c r="L460" s="6" t="s">
        <v>24</v>
      </c>
      <c r="M460" s="6">
        <v>1</v>
      </c>
      <c r="N460" s="8">
        <v>34.200000000000003</v>
      </c>
      <c r="O460" s="25" t="s">
        <v>34</v>
      </c>
      <c r="P460" s="14">
        <f t="shared" si="7"/>
        <v>0.48376623376623379</v>
      </c>
      <c r="Q460" s="17">
        <f>Table1[[#This Row],[Price]]-Table1[[#This Row],[Competitor Pricing]]</f>
        <v>-3.0200000000000031</v>
      </c>
    </row>
    <row r="461" spans="1:17" x14ac:dyDescent="0.3">
      <c r="A461" s="21">
        <v>44566</v>
      </c>
      <c r="B461" s="9" t="s">
        <v>54</v>
      </c>
      <c r="C461" s="9" t="s">
        <v>52</v>
      </c>
      <c r="D461" s="9" t="s">
        <v>17</v>
      </c>
      <c r="E461" s="9" t="s">
        <v>18</v>
      </c>
      <c r="F461" s="10">
        <v>286</v>
      </c>
      <c r="G461" s="10">
        <v>192</v>
      </c>
      <c r="H461" s="10">
        <v>70</v>
      </c>
      <c r="I461" s="11">
        <v>205.67</v>
      </c>
      <c r="J461" s="11">
        <v>65.34</v>
      </c>
      <c r="K461" s="10">
        <v>10</v>
      </c>
      <c r="L461" s="9" t="s">
        <v>19</v>
      </c>
      <c r="M461" s="9">
        <v>0</v>
      </c>
      <c r="N461" s="11">
        <v>63.05</v>
      </c>
      <c r="O461" s="26" t="s">
        <v>20</v>
      </c>
      <c r="P461" s="14">
        <f t="shared" si="7"/>
        <v>0.67132867132867136</v>
      </c>
      <c r="Q461" s="17">
        <f>Table1[[#This Row],[Price]]-Table1[[#This Row],[Competitor Pricing]]</f>
        <v>2.2900000000000063</v>
      </c>
    </row>
    <row r="462" spans="1:17" x14ac:dyDescent="0.3">
      <c r="A462" s="20">
        <v>44566</v>
      </c>
      <c r="B462" s="6" t="s">
        <v>55</v>
      </c>
      <c r="C462" s="6" t="s">
        <v>16</v>
      </c>
      <c r="D462" s="6" t="s">
        <v>22</v>
      </c>
      <c r="E462" s="6" t="s">
        <v>18</v>
      </c>
      <c r="F462" s="7">
        <v>201</v>
      </c>
      <c r="G462" s="7">
        <v>198</v>
      </c>
      <c r="H462" s="7">
        <v>103</v>
      </c>
      <c r="I462" s="8">
        <v>212.56</v>
      </c>
      <c r="J462" s="8">
        <v>57.58</v>
      </c>
      <c r="K462" s="7">
        <v>10</v>
      </c>
      <c r="L462" s="6" t="s">
        <v>29</v>
      </c>
      <c r="M462" s="6">
        <v>0</v>
      </c>
      <c r="N462" s="8">
        <v>58.98</v>
      </c>
      <c r="O462" s="25" t="s">
        <v>27</v>
      </c>
      <c r="P462" s="14">
        <f t="shared" si="7"/>
        <v>0.9850746268656716</v>
      </c>
      <c r="Q462" s="17">
        <f>Table1[[#This Row],[Price]]-Table1[[#This Row],[Competitor Pricing]]</f>
        <v>-1.3999999999999986</v>
      </c>
    </row>
    <row r="463" spans="1:17" x14ac:dyDescent="0.3">
      <c r="A463" s="21">
        <v>44566</v>
      </c>
      <c r="B463" s="9" t="s">
        <v>55</v>
      </c>
      <c r="C463" s="9" t="s">
        <v>21</v>
      </c>
      <c r="D463" s="9" t="s">
        <v>31</v>
      </c>
      <c r="E463" s="9" t="s">
        <v>18</v>
      </c>
      <c r="F463" s="10">
        <v>135</v>
      </c>
      <c r="G463" s="10">
        <v>83</v>
      </c>
      <c r="H463" s="10">
        <v>49</v>
      </c>
      <c r="I463" s="11">
        <v>88.88</v>
      </c>
      <c r="J463" s="11">
        <v>54.02</v>
      </c>
      <c r="K463" s="10">
        <v>20</v>
      </c>
      <c r="L463" s="9" t="s">
        <v>19</v>
      </c>
      <c r="M463" s="9">
        <v>0</v>
      </c>
      <c r="N463" s="11">
        <v>58.22</v>
      </c>
      <c r="O463" s="26" t="s">
        <v>34</v>
      </c>
      <c r="P463" s="14">
        <f t="shared" si="7"/>
        <v>0.61481481481481481</v>
      </c>
      <c r="Q463" s="17">
        <f>Table1[[#This Row],[Price]]-Table1[[#This Row],[Competitor Pricing]]</f>
        <v>-4.1999999999999957</v>
      </c>
    </row>
    <row r="464" spans="1:17" x14ac:dyDescent="0.3">
      <c r="A464" s="20">
        <v>44566</v>
      </c>
      <c r="B464" s="6" t="s">
        <v>55</v>
      </c>
      <c r="C464" s="6" t="s">
        <v>25</v>
      </c>
      <c r="D464" s="6" t="s">
        <v>36</v>
      </c>
      <c r="E464" s="6" t="s">
        <v>18</v>
      </c>
      <c r="F464" s="7">
        <v>258</v>
      </c>
      <c r="G464" s="7">
        <v>97</v>
      </c>
      <c r="H464" s="7">
        <v>172</v>
      </c>
      <c r="I464" s="8">
        <v>102.13</v>
      </c>
      <c r="J464" s="8">
        <v>69.959999999999994</v>
      </c>
      <c r="K464" s="7">
        <v>10</v>
      </c>
      <c r="L464" s="6" t="s">
        <v>44</v>
      </c>
      <c r="M464" s="6">
        <v>1</v>
      </c>
      <c r="N464" s="8">
        <v>70.94</v>
      </c>
      <c r="O464" s="25" t="s">
        <v>20</v>
      </c>
      <c r="P464" s="14">
        <f t="shared" si="7"/>
        <v>0.37596899224806202</v>
      </c>
      <c r="Q464" s="17">
        <f>Table1[[#This Row],[Price]]-Table1[[#This Row],[Competitor Pricing]]</f>
        <v>-0.98000000000000398</v>
      </c>
    </row>
    <row r="465" spans="1:17" x14ac:dyDescent="0.3">
      <c r="A465" s="21">
        <v>44566</v>
      </c>
      <c r="B465" s="9" t="s">
        <v>55</v>
      </c>
      <c r="C465" s="9" t="s">
        <v>28</v>
      </c>
      <c r="D465" s="9" t="s">
        <v>22</v>
      </c>
      <c r="E465" s="9" t="s">
        <v>18</v>
      </c>
      <c r="F465" s="10">
        <v>357</v>
      </c>
      <c r="G465" s="10">
        <v>173</v>
      </c>
      <c r="H465" s="10">
        <v>97</v>
      </c>
      <c r="I465" s="11">
        <v>190.9</v>
      </c>
      <c r="J465" s="11">
        <v>51.07</v>
      </c>
      <c r="K465" s="10">
        <v>5</v>
      </c>
      <c r="L465" s="9" t="s">
        <v>24</v>
      </c>
      <c r="M465" s="9">
        <v>1</v>
      </c>
      <c r="N465" s="11">
        <v>50.35</v>
      </c>
      <c r="O465" s="26" t="s">
        <v>39</v>
      </c>
      <c r="P465" s="14">
        <f t="shared" si="7"/>
        <v>0.484593837535014</v>
      </c>
      <c r="Q465" s="17">
        <f>Table1[[#This Row],[Price]]-Table1[[#This Row],[Competitor Pricing]]</f>
        <v>0.71999999999999886</v>
      </c>
    </row>
    <row r="466" spans="1:17" x14ac:dyDescent="0.3">
      <c r="A466" s="20">
        <v>44566</v>
      </c>
      <c r="B466" s="6" t="s">
        <v>55</v>
      </c>
      <c r="C466" s="6" t="s">
        <v>30</v>
      </c>
      <c r="D466" s="6" t="s">
        <v>31</v>
      </c>
      <c r="E466" s="6" t="s">
        <v>32</v>
      </c>
      <c r="F466" s="7">
        <v>387</v>
      </c>
      <c r="G466" s="7">
        <v>69</v>
      </c>
      <c r="H466" s="7">
        <v>199</v>
      </c>
      <c r="I466" s="8">
        <v>87.46</v>
      </c>
      <c r="J466" s="8">
        <v>99.12</v>
      </c>
      <c r="K466" s="7">
        <v>20</v>
      </c>
      <c r="L466" s="6" t="s">
        <v>19</v>
      </c>
      <c r="M466" s="6">
        <v>1</v>
      </c>
      <c r="N466" s="8">
        <v>95.19</v>
      </c>
      <c r="O466" s="25" t="s">
        <v>20</v>
      </c>
      <c r="P466" s="14">
        <f t="shared" si="7"/>
        <v>0.17829457364341086</v>
      </c>
      <c r="Q466" s="17">
        <f>Table1[[#This Row],[Price]]-Table1[[#This Row],[Competitor Pricing]]</f>
        <v>3.9300000000000068</v>
      </c>
    </row>
    <row r="467" spans="1:17" x14ac:dyDescent="0.3">
      <c r="A467" s="21">
        <v>44566</v>
      </c>
      <c r="B467" s="9" t="s">
        <v>55</v>
      </c>
      <c r="C467" s="9" t="s">
        <v>33</v>
      </c>
      <c r="D467" s="9" t="s">
        <v>36</v>
      </c>
      <c r="E467" s="9" t="s">
        <v>32</v>
      </c>
      <c r="F467" s="10">
        <v>378</v>
      </c>
      <c r="G467" s="10">
        <v>256</v>
      </c>
      <c r="H467" s="10">
        <v>169</v>
      </c>
      <c r="I467" s="11">
        <v>271.82</v>
      </c>
      <c r="J467" s="11">
        <v>77.59</v>
      </c>
      <c r="K467" s="10">
        <v>15</v>
      </c>
      <c r="L467" s="9" t="s">
        <v>24</v>
      </c>
      <c r="M467" s="9">
        <v>0</v>
      </c>
      <c r="N467" s="11">
        <v>79.28</v>
      </c>
      <c r="O467" s="26" t="s">
        <v>20</v>
      </c>
      <c r="P467" s="14">
        <f t="shared" si="7"/>
        <v>0.67724867724867721</v>
      </c>
      <c r="Q467" s="17">
        <f>Table1[[#This Row],[Price]]-Table1[[#This Row],[Competitor Pricing]]</f>
        <v>-1.6899999999999977</v>
      </c>
    </row>
    <row r="468" spans="1:17" x14ac:dyDescent="0.3">
      <c r="A468" s="20">
        <v>44566</v>
      </c>
      <c r="B468" s="6" t="s">
        <v>55</v>
      </c>
      <c r="C468" s="6" t="s">
        <v>35</v>
      </c>
      <c r="D468" s="6" t="s">
        <v>31</v>
      </c>
      <c r="E468" s="6" t="s">
        <v>18</v>
      </c>
      <c r="F468" s="7">
        <v>249</v>
      </c>
      <c r="G468" s="7">
        <v>246</v>
      </c>
      <c r="H468" s="7">
        <v>124</v>
      </c>
      <c r="I468" s="8">
        <v>246.58</v>
      </c>
      <c r="J468" s="8">
        <v>87.6</v>
      </c>
      <c r="K468" s="7">
        <v>10</v>
      </c>
      <c r="L468" s="6" t="s">
        <v>44</v>
      </c>
      <c r="M468" s="6">
        <v>0</v>
      </c>
      <c r="N468" s="8">
        <v>92.28</v>
      </c>
      <c r="O468" s="25" t="s">
        <v>27</v>
      </c>
      <c r="P468" s="14">
        <f t="shared" si="7"/>
        <v>0.98795180722891562</v>
      </c>
      <c r="Q468" s="17">
        <f>Table1[[#This Row],[Price]]-Table1[[#This Row],[Competitor Pricing]]</f>
        <v>-4.6800000000000068</v>
      </c>
    </row>
    <row r="469" spans="1:17" x14ac:dyDescent="0.3">
      <c r="A469" s="21">
        <v>44566</v>
      </c>
      <c r="B469" s="9" t="s">
        <v>55</v>
      </c>
      <c r="C469" s="9" t="s">
        <v>37</v>
      </c>
      <c r="D469" s="9" t="s">
        <v>38</v>
      </c>
      <c r="E469" s="9" t="s">
        <v>23</v>
      </c>
      <c r="F469" s="10">
        <v>448</v>
      </c>
      <c r="G469" s="10">
        <v>332</v>
      </c>
      <c r="H469" s="10">
        <v>184</v>
      </c>
      <c r="I469" s="11">
        <v>343.03</v>
      </c>
      <c r="J469" s="11">
        <v>43.67</v>
      </c>
      <c r="K469" s="10">
        <v>15</v>
      </c>
      <c r="L469" s="9" t="s">
        <v>29</v>
      </c>
      <c r="M469" s="9">
        <v>1</v>
      </c>
      <c r="N469" s="11">
        <v>40.57</v>
      </c>
      <c r="O469" s="26" t="s">
        <v>27</v>
      </c>
      <c r="P469" s="14">
        <f t="shared" si="7"/>
        <v>0.7410714285714286</v>
      </c>
      <c r="Q469" s="17">
        <f>Table1[[#This Row],[Price]]-Table1[[#This Row],[Competitor Pricing]]</f>
        <v>3.1000000000000014</v>
      </c>
    </row>
    <row r="470" spans="1:17" x14ac:dyDescent="0.3">
      <c r="A470" s="20">
        <v>44566</v>
      </c>
      <c r="B470" s="6" t="s">
        <v>55</v>
      </c>
      <c r="C470" s="6" t="s">
        <v>40</v>
      </c>
      <c r="D470" s="6" t="s">
        <v>22</v>
      </c>
      <c r="E470" s="6" t="s">
        <v>18</v>
      </c>
      <c r="F470" s="7">
        <v>348</v>
      </c>
      <c r="G470" s="7">
        <v>325</v>
      </c>
      <c r="H470" s="7">
        <v>97</v>
      </c>
      <c r="I470" s="8">
        <v>321.14999999999998</v>
      </c>
      <c r="J470" s="8">
        <v>89.52</v>
      </c>
      <c r="K470" s="7">
        <v>0</v>
      </c>
      <c r="L470" s="6" t="s">
        <v>19</v>
      </c>
      <c r="M470" s="6">
        <v>0</v>
      </c>
      <c r="N470" s="8">
        <v>87.3</v>
      </c>
      <c r="O470" s="25" t="s">
        <v>27</v>
      </c>
      <c r="P470" s="14">
        <f t="shared" si="7"/>
        <v>0.93390804597701149</v>
      </c>
      <c r="Q470" s="17">
        <f>Table1[[#This Row],[Price]]-Table1[[#This Row],[Competitor Pricing]]</f>
        <v>2.2199999999999989</v>
      </c>
    </row>
    <row r="471" spans="1:17" x14ac:dyDescent="0.3">
      <c r="A471" s="21">
        <v>44566</v>
      </c>
      <c r="B471" s="9" t="s">
        <v>55</v>
      </c>
      <c r="C471" s="9" t="s">
        <v>41</v>
      </c>
      <c r="D471" s="9" t="s">
        <v>17</v>
      </c>
      <c r="E471" s="9" t="s">
        <v>32</v>
      </c>
      <c r="F471" s="10">
        <v>412</v>
      </c>
      <c r="G471" s="10">
        <v>53</v>
      </c>
      <c r="H471" s="10">
        <v>75</v>
      </c>
      <c r="I471" s="11">
        <v>72.67</v>
      </c>
      <c r="J471" s="11">
        <v>12.89</v>
      </c>
      <c r="K471" s="10">
        <v>0</v>
      </c>
      <c r="L471" s="9" t="s">
        <v>44</v>
      </c>
      <c r="M471" s="9">
        <v>1</v>
      </c>
      <c r="N471" s="11">
        <v>13.92</v>
      </c>
      <c r="O471" s="26" t="s">
        <v>20</v>
      </c>
      <c r="P471" s="14">
        <f t="shared" si="7"/>
        <v>0.12864077669902912</v>
      </c>
      <c r="Q471" s="17">
        <f>Table1[[#This Row],[Price]]-Table1[[#This Row],[Competitor Pricing]]</f>
        <v>-1.0299999999999994</v>
      </c>
    </row>
    <row r="472" spans="1:17" x14ac:dyDescent="0.3">
      <c r="A472" s="20">
        <v>44566</v>
      </c>
      <c r="B472" s="6" t="s">
        <v>55</v>
      </c>
      <c r="C472" s="6" t="s">
        <v>42</v>
      </c>
      <c r="D472" s="6" t="s">
        <v>17</v>
      </c>
      <c r="E472" s="6" t="s">
        <v>26</v>
      </c>
      <c r="F472" s="7">
        <v>344</v>
      </c>
      <c r="G472" s="7">
        <v>17</v>
      </c>
      <c r="H472" s="7">
        <v>30</v>
      </c>
      <c r="I472" s="8">
        <v>26.69</v>
      </c>
      <c r="J472" s="8">
        <v>92.7</v>
      </c>
      <c r="K472" s="7">
        <v>5</v>
      </c>
      <c r="L472" s="6" t="s">
        <v>24</v>
      </c>
      <c r="M472" s="6">
        <v>0</v>
      </c>
      <c r="N472" s="8">
        <v>97.29</v>
      </c>
      <c r="O472" s="25" t="s">
        <v>20</v>
      </c>
      <c r="P472" s="14">
        <f t="shared" si="7"/>
        <v>4.9418604651162788E-2</v>
      </c>
      <c r="Q472" s="17">
        <f>Table1[[#This Row],[Price]]-Table1[[#This Row],[Competitor Pricing]]</f>
        <v>-4.5900000000000034</v>
      </c>
    </row>
    <row r="473" spans="1:17" x14ac:dyDescent="0.3">
      <c r="A473" s="21">
        <v>44566</v>
      </c>
      <c r="B473" s="9" t="s">
        <v>55</v>
      </c>
      <c r="C473" s="9" t="s">
        <v>43</v>
      </c>
      <c r="D473" s="9" t="s">
        <v>22</v>
      </c>
      <c r="E473" s="9" t="s">
        <v>26</v>
      </c>
      <c r="F473" s="10">
        <v>475</v>
      </c>
      <c r="G473" s="10">
        <v>223</v>
      </c>
      <c r="H473" s="10">
        <v>172</v>
      </c>
      <c r="I473" s="11">
        <v>241.25</v>
      </c>
      <c r="J473" s="11">
        <v>31.47</v>
      </c>
      <c r="K473" s="10">
        <v>20</v>
      </c>
      <c r="L473" s="9" t="s">
        <v>44</v>
      </c>
      <c r="M473" s="9">
        <v>0</v>
      </c>
      <c r="N473" s="11">
        <v>29.24</v>
      </c>
      <c r="O473" s="26" t="s">
        <v>39</v>
      </c>
      <c r="P473" s="14">
        <f t="shared" si="7"/>
        <v>0.46947368421052632</v>
      </c>
      <c r="Q473" s="17">
        <f>Table1[[#This Row],[Price]]-Table1[[#This Row],[Competitor Pricing]]</f>
        <v>2.2300000000000004</v>
      </c>
    </row>
    <row r="474" spans="1:17" x14ac:dyDescent="0.3">
      <c r="A474" s="20">
        <v>44566</v>
      </c>
      <c r="B474" s="6" t="s">
        <v>55</v>
      </c>
      <c r="C474" s="6" t="s">
        <v>45</v>
      </c>
      <c r="D474" s="6" t="s">
        <v>31</v>
      </c>
      <c r="E474" s="6" t="s">
        <v>26</v>
      </c>
      <c r="F474" s="7">
        <v>400</v>
      </c>
      <c r="G474" s="7">
        <v>95</v>
      </c>
      <c r="H474" s="7">
        <v>86</v>
      </c>
      <c r="I474" s="8">
        <v>113.09</v>
      </c>
      <c r="J474" s="8">
        <v>89.52</v>
      </c>
      <c r="K474" s="7">
        <v>0</v>
      </c>
      <c r="L474" s="6" t="s">
        <v>29</v>
      </c>
      <c r="M474" s="6">
        <v>0</v>
      </c>
      <c r="N474" s="8">
        <v>91.76</v>
      </c>
      <c r="O474" s="25" t="s">
        <v>20</v>
      </c>
      <c r="P474" s="14">
        <f t="shared" si="7"/>
        <v>0.23749999999999999</v>
      </c>
      <c r="Q474" s="17">
        <f>Table1[[#This Row],[Price]]-Table1[[#This Row],[Competitor Pricing]]</f>
        <v>-2.2400000000000091</v>
      </c>
    </row>
    <row r="475" spans="1:17" x14ac:dyDescent="0.3">
      <c r="A475" s="21">
        <v>44566</v>
      </c>
      <c r="B475" s="9" t="s">
        <v>55</v>
      </c>
      <c r="C475" s="9" t="s">
        <v>46</v>
      </c>
      <c r="D475" s="9" t="s">
        <v>22</v>
      </c>
      <c r="E475" s="9" t="s">
        <v>18</v>
      </c>
      <c r="F475" s="10">
        <v>424</v>
      </c>
      <c r="G475" s="10">
        <v>225</v>
      </c>
      <c r="H475" s="10">
        <v>37</v>
      </c>
      <c r="I475" s="11">
        <v>220.89</v>
      </c>
      <c r="J475" s="11">
        <v>54.44</v>
      </c>
      <c r="K475" s="10">
        <v>20</v>
      </c>
      <c r="L475" s="9" t="s">
        <v>24</v>
      </c>
      <c r="M475" s="9">
        <v>0</v>
      </c>
      <c r="N475" s="11">
        <v>57.58</v>
      </c>
      <c r="O475" s="26" t="s">
        <v>34</v>
      </c>
      <c r="P475" s="14">
        <f t="shared" si="7"/>
        <v>0.53066037735849059</v>
      </c>
      <c r="Q475" s="17">
        <f>Table1[[#This Row],[Price]]-Table1[[#This Row],[Competitor Pricing]]</f>
        <v>-3.1400000000000006</v>
      </c>
    </row>
    <row r="476" spans="1:17" x14ac:dyDescent="0.3">
      <c r="A476" s="20">
        <v>44566</v>
      </c>
      <c r="B476" s="6" t="s">
        <v>55</v>
      </c>
      <c r="C476" s="6" t="s">
        <v>47</v>
      </c>
      <c r="D476" s="6" t="s">
        <v>17</v>
      </c>
      <c r="E476" s="6" t="s">
        <v>32</v>
      </c>
      <c r="F476" s="7">
        <v>441</v>
      </c>
      <c r="G476" s="7">
        <v>216</v>
      </c>
      <c r="H476" s="7">
        <v>118</v>
      </c>
      <c r="I476" s="8">
        <v>207.56</v>
      </c>
      <c r="J476" s="8">
        <v>21.75</v>
      </c>
      <c r="K476" s="7">
        <v>15</v>
      </c>
      <c r="L476" s="6" t="s">
        <v>24</v>
      </c>
      <c r="M476" s="6">
        <v>0</v>
      </c>
      <c r="N476" s="8">
        <v>21.05</v>
      </c>
      <c r="O476" s="25" t="s">
        <v>34</v>
      </c>
      <c r="P476" s="14">
        <f t="shared" si="7"/>
        <v>0.48979591836734693</v>
      </c>
      <c r="Q476" s="17">
        <f>Table1[[#This Row],[Price]]-Table1[[#This Row],[Competitor Pricing]]</f>
        <v>0.69999999999999929</v>
      </c>
    </row>
    <row r="477" spans="1:17" x14ac:dyDescent="0.3">
      <c r="A477" s="21">
        <v>44566</v>
      </c>
      <c r="B477" s="9" t="s">
        <v>55</v>
      </c>
      <c r="C477" s="9" t="s">
        <v>48</v>
      </c>
      <c r="D477" s="9" t="s">
        <v>31</v>
      </c>
      <c r="E477" s="9" t="s">
        <v>18</v>
      </c>
      <c r="F477" s="10">
        <v>421</v>
      </c>
      <c r="G477" s="10">
        <v>324</v>
      </c>
      <c r="H477" s="10">
        <v>27</v>
      </c>
      <c r="I477" s="11">
        <v>318.43</v>
      </c>
      <c r="J477" s="11">
        <v>60.8</v>
      </c>
      <c r="K477" s="10">
        <v>0</v>
      </c>
      <c r="L477" s="9" t="s">
        <v>19</v>
      </c>
      <c r="M477" s="9">
        <v>1</v>
      </c>
      <c r="N477" s="11">
        <v>58.01</v>
      </c>
      <c r="O477" s="26" t="s">
        <v>39</v>
      </c>
      <c r="P477" s="14">
        <f t="shared" si="7"/>
        <v>0.76959619952494063</v>
      </c>
      <c r="Q477" s="17">
        <f>Table1[[#This Row],[Price]]-Table1[[#This Row],[Competitor Pricing]]</f>
        <v>2.7899999999999991</v>
      </c>
    </row>
    <row r="478" spans="1:17" x14ac:dyDescent="0.3">
      <c r="A478" s="20">
        <v>44566</v>
      </c>
      <c r="B478" s="6" t="s">
        <v>55</v>
      </c>
      <c r="C478" s="6" t="s">
        <v>49</v>
      </c>
      <c r="D478" s="6" t="s">
        <v>22</v>
      </c>
      <c r="E478" s="6" t="s">
        <v>23</v>
      </c>
      <c r="F478" s="7">
        <v>278</v>
      </c>
      <c r="G478" s="7">
        <v>75</v>
      </c>
      <c r="H478" s="7">
        <v>56</v>
      </c>
      <c r="I478" s="8">
        <v>90.62</v>
      </c>
      <c r="J478" s="8">
        <v>60.17</v>
      </c>
      <c r="K478" s="7">
        <v>5</v>
      </c>
      <c r="L478" s="6" t="s">
        <v>24</v>
      </c>
      <c r="M478" s="6">
        <v>0</v>
      </c>
      <c r="N478" s="8">
        <v>55.33</v>
      </c>
      <c r="O478" s="25" t="s">
        <v>27</v>
      </c>
      <c r="P478" s="14">
        <f t="shared" si="7"/>
        <v>0.26978417266187049</v>
      </c>
      <c r="Q478" s="17">
        <f>Table1[[#This Row],[Price]]-Table1[[#This Row],[Competitor Pricing]]</f>
        <v>4.8400000000000034</v>
      </c>
    </row>
    <row r="479" spans="1:17" x14ac:dyDescent="0.3">
      <c r="A479" s="21">
        <v>44566</v>
      </c>
      <c r="B479" s="9" t="s">
        <v>55</v>
      </c>
      <c r="C479" s="9" t="s">
        <v>50</v>
      </c>
      <c r="D479" s="9" t="s">
        <v>31</v>
      </c>
      <c r="E479" s="9" t="s">
        <v>26</v>
      </c>
      <c r="F479" s="10">
        <v>319</v>
      </c>
      <c r="G479" s="10">
        <v>158</v>
      </c>
      <c r="H479" s="10">
        <v>176</v>
      </c>
      <c r="I479" s="11">
        <v>170.15</v>
      </c>
      <c r="J479" s="11">
        <v>19.170000000000002</v>
      </c>
      <c r="K479" s="10">
        <v>15</v>
      </c>
      <c r="L479" s="9" t="s">
        <v>19</v>
      </c>
      <c r="M479" s="9">
        <v>1</v>
      </c>
      <c r="N479" s="11">
        <v>20.52</v>
      </c>
      <c r="O479" s="26" t="s">
        <v>34</v>
      </c>
      <c r="P479" s="14">
        <f t="shared" si="7"/>
        <v>0.4952978056426332</v>
      </c>
      <c r="Q479" s="17">
        <f>Table1[[#This Row],[Price]]-Table1[[#This Row],[Competitor Pricing]]</f>
        <v>-1.3499999999999979</v>
      </c>
    </row>
    <row r="480" spans="1:17" x14ac:dyDescent="0.3">
      <c r="A480" s="20">
        <v>44566</v>
      </c>
      <c r="B480" s="6" t="s">
        <v>55</v>
      </c>
      <c r="C480" s="6" t="s">
        <v>51</v>
      </c>
      <c r="D480" s="6" t="s">
        <v>31</v>
      </c>
      <c r="E480" s="6" t="s">
        <v>26</v>
      </c>
      <c r="F480" s="7">
        <v>353</v>
      </c>
      <c r="G480" s="7">
        <v>55</v>
      </c>
      <c r="H480" s="7">
        <v>35</v>
      </c>
      <c r="I480" s="8">
        <v>56.6</v>
      </c>
      <c r="J480" s="8">
        <v>45.92</v>
      </c>
      <c r="K480" s="7">
        <v>20</v>
      </c>
      <c r="L480" s="6" t="s">
        <v>44</v>
      </c>
      <c r="M480" s="6">
        <v>0</v>
      </c>
      <c r="N480" s="8">
        <v>46.95</v>
      </c>
      <c r="O480" s="25" t="s">
        <v>34</v>
      </c>
      <c r="P480" s="14">
        <f t="shared" si="7"/>
        <v>0.15580736543909349</v>
      </c>
      <c r="Q480" s="17">
        <f>Table1[[#This Row],[Price]]-Table1[[#This Row],[Competitor Pricing]]</f>
        <v>-1.0300000000000011</v>
      </c>
    </row>
    <row r="481" spans="1:17" x14ac:dyDescent="0.3">
      <c r="A481" s="21">
        <v>44566</v>
      </c>
      <c r="B481" s="9" t="s">
        <v>55</v>
      </c>
      <c r="C481" s="9" t="s">
        <v>52</v>
      </c>
      <c r="D481" s="9" t="s">
        <v>22</v>
      </c>
      <c r="E481" s="9" t="s">
        <v>23</v>
      </c>
      <c r="F481" s="10">
        <v>149</v>
      </c>
      <c r="G481" s="10">
        <v>131</v>
      </c>
      <c r="H481" s="10">
        <v>42</v>
      </c>
      <c r="I481" s="11">
        <v>147.54</v>
      </c>
      <c r="J481" s="11">
        <v>23.85</v>
      </c>
      <c r="K481" s="10">
        <v>5</v>
      </c>
      <c r="L481" s="9" t="s">
        <v>29</v>
      </c>
      <c r="M481" s="9">
        <v>0</v>
      </c>
      <c r="N481" s="11">
        <v>19.43</v>
      </c>
      <c r="O481" s="26" t="s">
        <v>20</v>
      </c>
      <c r="P481" s="14">
        <f t="shared" si="7"/>
        <v>0.87919463087248317</v>
      </c>
      <c r="Q481" s="17">
        <f>Table1[[#This Row],[Price]]-Table1[[#This Row],[Competitor Pricing]]</f>
        <v>4.4200000000000017</v>
      </c>
    </row>
    <row r="482" spans="1:17" x14ac:dyDescent="0.3">
      <c r="A482" s="20">
        <v>44566</v>
      </c>
      <c r="B482" s="6" t="s">
        <v>56</v>
      </c>
      <c r="C482" s="6" t="s">
        <v>16</v>
      </c>
      <c r="D482" s="6" t="s">
        <v>22</v>
      </c>
      <c r="E482" s="6" t="s">
        <v>23</v>
      </c>
      <c r="F482" s="7">
        <v>371</v>
      </c>
      <c r="G482" s="7">
        <v>74</v>
      </c>
      <c r="H482" s="7">
        <v>115</v>
      </c>
      <c r="I482" s="8">
        <v>93.27</v>
      </c>
      <c r="J482" s="8">
        <v>40.47</v>
      </c>
      <c r="K482" s="7">
        <v>20</v>
      </c>
      <c r="L482" s="6" t="s">
        <v>29</v>
      </c>
      <c r="M482" s="6">
        <v>0</v>
      </c>
      <c r="N482" s="8">
        <v>40.299999999999997</v>
      </c>
      <c r="O482" s="25" t="s">
        <v>39</v>
      </c>
      <c r="P482" s="14">
        <f t="shared" si="7"/>
        <v>0.19946091644204852</v>
      </c>
      <c r="Q482" s="17">
        <f>Table1[[#This Row],[Price]]-Table1[[#This Row],[Competitor Pricing]]</f>
        <v>0.17000000000000171</v>
      </c>
    </row>
    <row r="483" spans="1:17" x14ac:dyDescent="0.3">
      <c r="A483" s="21">
        <v>44566</v>
      </c>
      <c r="B483" s="9" t="s">
        <v>56</v>
      </c>
      <c r="C483" s="9" t="s">
        <v>21</v>
      </c>
      <c r="D483" s="9" t="s">
        <v>22</v>
      </c>
      <c r="E483" s="9" t="s">
        <v>26</v>
      </c>
      <c r="F483" s="10">
        <v>98</v>
      </c>
      <c r="G483" s="10">
        <v>59</v>
      </c>
      <c r="H483" s="10">
        <v>94</v>
      </c>
      <c r="I483" s="11">
        <v>62.06</v>
      </c>
      <c r="J483" s="11">
        <v>26.25</v>
      </c>
      <c r="K483" s="10">
        <v>15</v>
      </c>
      <c r="L483" s="9" t="s">
        <v>44</v>
      </c>
      <c r="M483" s="9">
        <v>1</v>
      </c>
      <c r="N483" s="11">
        <v>28.27</v>
      </c>
      <c r="O483" s="26" t="s">
        <v>20</v>
      </c>
      <c r="P483" s="14">
        <f t="shared" si="7"/>
        <v>0.60204081632653061</v>
      </c>
      <c r="Q483" s="17">
        <f>Table1[[#This Row],[Price]]-Table1[[#This Row],[Competitor Pricing]]</f>
        <v>-2.0199999999999996</v>
      </c>
    </row>
    <row r="484" spans="1:17" x14ac:dyDescent="0.3">
      <c r="A484" s="20">
        <v>44566</v>
      </c>
      <c r="B484" s="6" t="s">
        <v>56</v>
      </c>
      <c r="C484" s="6" t="s">
        <v>25</v>
      </c>
      <c r="D484" s="6" t="s">
        <v>31</v>
      </c>
      <c r="E484" s="6" t="s">
        <v>23</v>
      </c>
      <c r="F484" s="7">
        <v>318</v>
      </c>
      <c r="G484" s="7">
        <v>150</v>
      </c>
      <c r="H484" s="7">
        <v>171</v>
      </c>
      <c r="I484" s="8">
        <v>145.30000000000001</v>
      </c>
      <c r="J484" s="8">
        <v>82.08</v>
      </c>
      <c r="K484" s="7">
        <v>5</v>
      </c>
      <c r="L484" s="6" t="s">
        <v>19</v>
      </c>
      <c r="M484" s="6">
        <v>0</v>
      </c>
      <c r="N484" s="8">
        <v>82.7</v>
      </c>
      <c r="O484" s="25" t="s">
        <v>39</v>
      </c>
      <c r="P484" s="14">
        <f t="shared" si="7"/>
        <v>0.47169811320754718</v>
      </c>
      <c r="Q484" s="17">
        <f>Table1[[#This Row],[Price]]-Table1[[#This Row],[Competitor Pricing]]</f>
        <v>-0.62000000000000455</v>
      </c>
    </row>
    <row r="485" spans="1:17" x14ac:dyDescent="0.3">
      <c r="A485" s="21">
        <v>44566</v>
      </c>
      <c r="B485" s="9" t="s">
        <v>56</v>
      </c>
      <c r="C485" s="9" t="s">
        <v>28</v>
      </c>
      <c r="D485" s="9" t="s">
        <v>17</v>
      </c>
      <c r="E485" s="9" t="s">
        <v>18</v>
      </c>
      <c r="F485" s="10">
        <v>200</v>
      </c>
      <c r="G485" s="10">
        <v>135</v>
      </c>
      <c r="H485" s="10">
        <v>192</v>
      </c>
      <c r="I485" s="11">
        <v>145.91</v>
      </c>
      <c r="J485" s="11">
        <v>50.59</v>
      </c>
      <c r="K485" s="10">
        <v>15</v>
      </c>
      <c r="L485" s="9" t="s">
        <v>24</v>
      </c>
      <c r="M485" s="9">
        <v>0</v>
      </c>
      <c r="N485" s="11">
        <v>54.05</v>
      </c>
      <c r="O485" s="26" t="s">
        <v>39</v>
      </c>
      <c r="P485" s="14">
        <f t="shared" si="7"/>
        <v>0.67500000000000004</v>
      </c>
      <c r="Q485" s="17">
        <f>Table1[[#This Row],[Price]]-Table1[[#This Row],[Competitor Pricing]]</f>
        <v>-3.4599999999999937</v>
      </c>
    </row>
    <row r="486" spans="1:17" x14ac:dyDescent="0.3">
      <c r="A486" s="20">
        <v>44566</v>
      </c>
      <c r="B486" s="6" t="s">
        <v>56</v>
      </c>
      <c r="C486" s="6" t="s">
        <v>30</v>
      </c>
      <c r="D486" s="6" t="s">
        <v>22</v>
      </c>
      <c r="E486" s="6" t="s">
        <v>26</v>
      </c>
      <c r="F486" s="7">
        <v>299</v>
      </c>
      <c r="G486" s="7">
        <v>79</v>
      </c>
      <c r="H486" s="7">
        <v>117</v>
      </c>
      <c r="I486" s="8">
        <v>97.08</v>
      </c>
      <c r="J486" s="8">
        <v>49.08</v>
      </c>
      <c r="K486" s="7">
        <v>5</v>
      </c>
      <c r="L486" s="6" t="s">
        <v>19</v>
      </c>
      <c r="M486" s="6">
        <v>0</v>
      </c>
      <c r="N486" s="8">
        <v>45.5</v>
      </c>
      <c r="O486" s="25" t="s">
        <v>39</v>
      </c>
      <c r="P486" s="14">
        <f t="shared" si="7"/>
        <v>0.26421404682274247</v>
      </c>
      <c r="Q486" s="17">
        <f>Table1[[#This Row],[Price]]-Table1[[#This Row],[Competitor Pricing]]</f>
        <v>3.5799999999999983</v>
      </c>
    </row>
    <row r="487" spans="1:17" x14ac:dyDescent="0.3">
      <c r="A487" s="21">
        <v>44566</v>
      </c>
      <c r="B487" s="9" t="s">
        <v>56</v>
      </c>
      <c r="C487" s="9" t="s">
        <v>33</v>
      </c>
      <c r="D487" s="9" t="s">
        <v>17</v>
      </c>
      <c r="E487" s="9" t="s">
        <v>23</v>
      </c>
      <c r="F487" s="10">
        <v>392</v>
      </c>
      <c r="G487" s="10">
        <v>62</v>
      </c>
      <c r="H487" s="10">
        <v>125</v>
      </c>
      <c r="I487" s="11">
        <v>68.41</v>
      </c>
      <c r="J487" s="11">
        <v>12.38</v>
      </c>
      <c r="K487" s="10">
        <v>0</v>
      </c>
      <c r="L487" s="9" t="s">
        <v>19</v>
      </c>
      <c r="M487" s="9">
        <v>1</v>
      </c>
      <c r="N487" s="11">
        <v>16.239999999999998</v>
      </c>
      <c r="O487" s="26" t="s">
        <v>27</v>
      </c>
      <c r="P487" s="14">
        <f t="shared" si="7"/>
        <v>0.15816326530612246</v>
      </c>
      <c r="Q487" s="17">
        <f>Table1[[#This Row],[Price]]-Table1[[#This Row],[Competitor Pricing]]</f>
        <v>-3.8599999999999977</v>
      </c>
    </row>
    <row r="488" spans="1:17" x14ac:dyDescent="0.3">
      <c r="A488" s="20">
        <v>44566</v>
      </c>
      <c r="B488" s="6" t="s">
        <v>56</v>
      </c>
      <c r="C488" s="6" t="s">
        <v>35</v>
      </c>
      <c r="D488" s="6" t="s">
        <v>38</v>
      </c>
      <c r="E488" s="6" t="s">
        <v>32</v>
      </c>
      <c r="F488" s="7">
        <v>399</v>
      </c>
      <c r="G488" s="7">
        <v>130</v>
      </c>
      <c r="H488" s="7">
        <v>77</v>
      </c>
      <c r="I488" s="8">
        <v>123.53</v>
      </c>
      <c r="J488" s="8">
        <v>49.02</v>
      </c>
      <c r="K488" s="7">
        <v>20</v>
      </c>
      <c r="L488" s="6" t="s">
        <v>29</v>
      </c>
      <c r="M488" s="6">
        <v>0</v>
      </c>
      <c r="N488" s="8">
        <v>53.33</v>
      </c>
      <c r="O488" s="25" t="s">
        <v>20</v>
      </c>
      <c r="P488" s="14">
        <f t="shared" si="7"/>
        <v>0.32581453634085211</v>
      </c>
      <c r="Q488" s="17">
        <f>Table1[[#This Row],[Price]]-Table1[[#This Row],[Competitor Pricing]]</f>
        <v>-4.3099999999999952</v>
      </c>
    </row>
    <row r="489" spans="1:17" x14ac:dyDescent="0.3">
      <c r="A489" s="21">
        <v>44566</v>
      </c>
      <c r="B489" s="9" t="s">
        <v>56</v>
      </c>
      <c r="C489" s="9" t="s">
        <v>37</v>
      </c>
      <c r="D489" s="9" t="s">
        <v>22</v>
      </c>
      <c r="E489" s="9" t="s">
        <v>18</v>
      </c>
      <c r="F489" s="10">
        <v>192</v>
      </c>
      <c r="G489" s="10">
        <v>74</v>
      </c>
      <c r="H489" s="10">
        <v>116</v>
      </c>
      <c r="I489" s="11">
        <v>66.44</v>
      </c>
      <c r="J489" s="11">
        <v>27.08</v>
      </c>
      <c r="K489" s="10">
        <v>10</v>
      </c>
      <c r="L489" s="9" t="s">
        <v>24</v>
      </c>
      <c r="M489" s="9">
        <v>1</v>
      </c>
      <c r="N489" s="11">
        <v>31.34</v>
      </c>
      <c r="O489" s="26" t="s">
        <v>27</v>
      </c>
      <c r="P489" s="14">
        <f t="shared" si="7"/>
        <v>0.38541666666666669</v>
      </c>
      <c r="Q489" s="17">
        <f>Table1[[#This Row],[Price]]-Table1[[#This Row],[Competitor Pricing]]</f>
        <v>-4.2600000000000016</v>
      </c>
    </row>
    <row r="490" spans="1:17" x14ac:dyDescent="0.3">
      <c r="A490" s="20">
        <v>44566</v>
      </c>
      <c r="B490" s="6" t="s">
        <v>56</v>
      </c>
      <c r="C490" s="6" t="s">
        <v>40</v>
      </c>
      <c r="D490" s="6" t="s">
        <v>38</v>
      </c>
      <c r="E490" s="6" t="s">
        <v>26</v>
      </c>
      <c r="F490" s="7">
        <v>149</v>
      </c>
      <c r="G490" s="7">
        <v>16</v>
      </c>
      <c r="H490" s="7">
        <v>23</v>
      </c>
      <c r="I490" s="8">
        <v>34.950000000000003</v>
      </c>
      <c r="J490" s="8">
        <v>59.13</v>
      </c>
      <c r="K490" s="7">
        <v>10</v>
      </c>
      <c r="L490" s="6" t="s">
        <v>19</v>
      </c>
      <c r="M490" s="6">
        <v>0</v>
      </c>
      <c r="N490" s="8">
        <v>59.09</v>
      </c>
      <c r="O490" s="25" t="s">
        <v>27</v>
      </c>
      <c r="P490" s="14">
        <f t="shared" si="7"/>
        <v>0.10738255033557047</v>
      </c>
      <c r="Q490" s="17">
        <f>Table1[[#This Row],[Price]]-Table1[[#This Row],[Competitor Pricing]]</f>
        <v>3.9999999999999147E-2</v>
      </c>
    </row>
    <row r="491" spans="1:17" x14ac:dyDescent="0.3">
      <c r="A491" s="21">
        <v>44566</v>
      </c>
      <c r="B491" s="9" t="s">
        <v>56</v>
      </c>
      <c r="C491" s="9" t="s">
        <v>41</v>
      </c>
      <c r="D491" s="9" t="s">
        <v>36</v>
      </c>
      <c r="E491" s="9" t="s">
        <v>18</v>
      </c>
      <c r="F491" s="10">
        <v>406</v>
      </c>
      <c r="G491" s="10">
        <v>342</v>
      </c>
      <c r="H491" s="10">
        <v>195</v>
      </c>
      <c r="I491" s="11">
        <v>353.01</v>
      </c>
      <c r="J491" s="11">
        <v>43.1</v>
      </c>
      <c r="K491" s="10">
        <v>5</v>
      </c>
      <c r="L491" s="9" t="s">
        <v>29</v>
      </c>
      <c r="M491" s="9">
        <v>1</v>
      </c>
      <c r="N491" s="11">
        <v>42.19</v>
      </c>
      <c r="O491" s="26" t="s">
        <v>27</v>
      </c>
      <c r="P491" s="14">
        <f t="shared" si="7"/>
        <v>0.8423645320197044</v>
      </c>
      <c r="Q491" s="17">
        <f>Table1[[#This Row],[Price]]-Table1[[#This Row],[Competitor Pricing]]</f>
        <v>0.91000000000000369</v>
      </c>
    </row>
    <row r="492" spans="1:17" x14ac:dyDescent="0.3">
      <c r="A492" s="20">
        <v>44566</v>
      </c>
      <c r="B492" s="6" t="s">
        <v>56</v>
      </c>
      <c r="C492" s="6" t="s">
        <v>42</v>
      </c>
      <c r="D492" s="6" t="s">
        <v>31</v>
      </c>
      <c r="E492" s="6" t="s">
        <v>23</v>
      </c>
      <c r="F492" s="7">
        <v>91</v>
      </c>
      <c r="G492" s="7">
        <v>48</v>
      </c>
      <c r="H492" s="7">
        <v>155</v>
      </c>
      <c r="I492" s="8">
        <v>51.37</v>
      </c>
      <c r="J492" s="8">
        <v>13.33</v>
      </c>
      <c r="K492" s="7">
        <v>5</v>
      </c>
      <c r="L492" s="6" t="s">
        <v>29</v>
      </c>
      <c r="M492" s="6">
        <v>0</v>
      </c>
      <c r="N492" s="8">
        <v>13.1</v>
      </c>
      <c r="O492" s="25" t="s">
        <v>20</v>
      </c>
      <c r="P492" s="14">
        <f t="shared" si="7"/>
        <v>0.52747252747252749</v>
      </c>
      <c r="Q492" s="17">
        <f>Table1[[#This Row],[Price]]-Table1[[#This Row],[Competitor Pricing]]</f>
        <v>0.23000000000000043</v>
      </c>
    </row>
    <row r="493" spans="1:17" x14ac:dyDescent="0.3">
      <c r="A493" s="21">
        <v>44566</v>
      </c>
      <c r="B493" s="9" t="s">
        <v>56</v>
      </c>
      <c r="C493" s="9" t="s">
        <v>43</v>
      </c>
      <c r="D493" s="9" t="s">
        <v>38</v>
      </c>
      <c r="E493" s="9" t="s">
        <v>32</v>
      </c>
      <c r="F493" s="10">
        <v>228</v>
      </c>
      <c r="G493" s="10">
        <v>224</v>
      </c>
      <c r="H493" s="10">
        <v>147</v>
      </c>
      <c r="I493" s="11">
        <v>218.16</v>
      </c>
      <c r="J493" s="11">
        <v>98.66</v>
      </c>
      <c r="K493" s="10">
        <v>10</v>
      </c>
      <c r="L493" s="9" t="s">
        <v>44</v>
      </c>
      <c r="M493" s="9">
        <v>0</v>
      </c>
      <c r="N493" s="11">
        <v>103.3</v>
      </c>
      <c r="O493" s="26" t="s">
        <v>39</v>
      </c>
      <c r="P493" s="14">
        <f t="shared" si="7"/>
        <v>0.98245614035087714</v>
      </c>
      <c r="Q493" s="17">
        <f>Table1[[#This Row],[Price]]-Table1[[#This Row],[Competitor Pricing]]</f>
        <v>-4.6400000000000006</v>
      </c>
    </row>
    <row r="494" spans="1:17" x14ac:dyDescent="0.3">
      <c r="A494" s="20">
        <v>44566</v>
      </c>
      <c r="B494" s="6" t="s">
        <v>56</v>
      </c>
      <c r="C494" s="6" t="s">
        <v>45</v>
      </c>
      <c r="D494" s="6" t="s">
        <v>31</v>
      </c>
      <c r="E494" s="6" t="s">
        <v>23</v>
      </c>
      <c r="F494" s="7">
        <v>68</v>
      </c>
      <c r="G494" s="7">
        <v>64</v>
      </c>
      <c r="H494" s="7">
        <v>54</v>
      </c>
      <c r="I494" s="8">
        <v>71.81</v>
      </c>
      <c r="J494" s="8">
        <v>39.799999999999997</v>
      </c>
      <c r="K494" s="7">
        <v>15</v>
      </c>
      <c r="L494" s="6" t="s">
        <v>19</v>
      </c>
      <c r="M494" s="6">
        <v>1</v>
      </c>
      <c r="N494" s="8">
        <v>35.380000000000003</v>
      </c>
      <c r="O494" s="25" t="s">
        <v>27</v>
      </c>
      <c r="P494" s="14">
        <f t="shared" si="7"/>
        <v>0.94117647058823528</v>
      </c>
      <c r="Q494" s="17">
        <f>Table1[[#This Row],[Price]]-Table1[[#This Row],[Competitor Pricing]]</f>
        <v>4.4199999999999946</v>
      </c>
    </row>
    <row r="495" spans="1:17" x14ac:dyDescent="0.3">
      <c r="A495" s="21">
        <v>44566</v>
      </c>
      <c r="B495" s="9" t="s">
        <v>56</v>
      </c>
      <c r="C495" s="9" t="s">
        <v>46</v>
      </c>
      <c r="D495" s="9" t="s">
        <v>22</v>
      </c>
      <c r="E495" s="9" t="s">
        <v>18</v>
      </c>
      <c r="F495" s="10">
        <v>358</v>
      </c>
      <c r="G495" s="10">
        <v>322</v>
      </c>
      <c r="H495" s="10">
        <v>36</v>
      </c>
      <c r="I495" s="11">
        <v>316.68</v>
      </c>
      <c r="J495" s="11">
        <v>86.26</v>
      </c>
      <c r="K495" s="10">
        <v>10</v>
      </c>
      <c r="L495" s="9" t="s">
        <v>19</v>
      </c>
      <c r="M495" s="9">
        <v>0</v>
      </c>
      <c r="N495" s="11">
        <v>85.97</v>
      </c>
      <c r="O495" s="26" t="s">
        <v>27</v>
      </c>
      <c r="P495" s="14">
        <f t="shared" si="7"/>
        <v>0.8994413407821229</v>
      </c>
      <c r="Q495" s="17">
        <f>Table1[[#This Row],[Price]]-Table1[[#This Row],[Competitor Pricing]]</f>
        <v>0.29000000000000625</v>
      </c>
    </row>
    <row r="496" spans="1:17" x14ac:dyDescent="0.3">
      <c r="A496" s="20">
        <v>44566</v>
      </c>
      <c r="B496" s="6" t="s">
        <v>56</v>
      </c>
      <c r="C496" s="6" t="s">
        <v>47</v>
      </c>
      <c r="D496" s="6" t="s">
        <v>22</v>
      </c>
      <c r="E496" s="6" t="s">
        <v>23</v>
      </c>
      <c r="F496" s="7">
        <v>361</v>
      </c>
      <c r="G496" s="7">
        <v>264</v>
      </c>
      <c r="H496" s="7">
        <v>75</v>
      </c>
      <c r="I496" s="8">
        <v>258.32</v>
      </c>
      <c r="J496" s="8">
        <v>85.81</v>
      </c>
      <c r="K496" s="7">
        <v>10</v>
      </c>
      <c r="L496" s="6" t="s">
        <v>44</v>
      </c>
      <c r="M496" s="6">
        <v>1</v>
      </c>
      <c r="N496" s="8">
        <v>89.25</v>
      </c>
      <c r="O496" s="25" t="s">
        <v>27</v>
      </c>
      <c r="P496" s="14">
        <f t="shared" si="7"/>
        <v>0.73130193905817176</v>
      </c>
      <c r="Q496" s="17">
        <f>Table1[[#This Row],[Price]]-Table1[[#This Row],[Competitor Pricing]]</f>
        <v>-3.4399999999999977</v>
      </c>
    </row>
    <row r="497" spans="1:17" x14ac:dyDescent="0.3">
      <c r="A497" s="21">
        <v>44566</v>
      </c>
      <c r="B497" s="9" t="s">
        <v>56</v>
      </c>
      <c r="C497" s="9" t="s">
        <v>48</v>
      </c>
      <c r="D497" s="9" t="s">
        <v>31</v>
      </c>
      <c r="E497" s="9" t="s">
        <v>26</v>
      </c>
      <c r="F497" s="10">
        <v>371</v>
      </c>
      <c r="G497" s="10">
        <v>343</v>
      </c>
      <c r="H497" s="10">
        <v>98</v>
      </c>
      <c r="I497" s="11">
        <v>350.28</v>
      </c>
      <c r="J497" s="11">
        <v>58.21</v>
      </c>
      <c r="K497" s="10">
        <v>20</v>
      </c>
      <c r="L497" s="9" t="s">
        <v>19</v>
      </c>
      <c r="M497" s="9">
        <v>0</v>
      </c>
      <c r="N497" s="11">
        <v>57.49</v>
      </c>
      <c r="O497" s="26" t="s">
        <v>39</v>
      </c>
      <c r="P497" s="14">
        <f t="shared" si="7"/>
        <v>0.92452830188679247</v>
      </c>
      <c r="Q497" s="17">
        <f>Table1[[#This Row],[Price]]-Table1[[#This Row],[Competitor Pricing]]</f>
        <v>0.71999999999999886</v>
      </c>
    </row>
    <row r="498" spans="1:17" x14ac:dyDescent="0.3">
      <c r="A498" s="20">
        <v>44566</v>
      </c>
      <c r="B498" s="6" t="s">
        <v>56</v>
      </c>
      <c r="C498" s="6" t="s">
        <v>49</v>
      </c>
      <c r="D498" s="6" t="s">
        <v>17</v>
      </c>
      <c r="E498" s="6" t="s">
        <v>32</v>
      </c>
      <c r="F498" s="7">
        <v>231</v>
      </c>
      <c r="G498" s="7">
        <v>15</v>
      </c>
      <c r="H498" s="7">
        <v>107</v>
      </c>
      <c r="I498" s="8">
        <v>26.67</v>
      </c>
      <c r="J498" s="8">
        <v>74.42</v>
      </c>
      <c r="K498" s="7">
        <v>5</v>
      </c>
      <c r="L498" s="6" t="s">
        <v>29</v>
      </c>
      <c r="M498" s="6">
        <v>0</v>
      </c>
      <c r="N498" s="8">
        <v>73.86</v>
      </c>
      <c r="O498" s="25" t="s">
        <v>27</v>
      </c>
      <c r="P498" s="14">
        <f t="shared" si="7"/>
        <v>6.4935064935064929E-2</v>
      </c>
      <c r="Q498" s="17">
        <f>Table1[[#This Row],[Price]]-Table1[[#This Row],[Competitor Pricing]]</f>
        <v>0.56000000000000227</v>
      </c>
    </row>
    <row r="499" spans="1:17" x14ac:dyDescent="0.3">
      <c r="A499" s="21">
        <v>44566</v>
      </c>
      <c r="B499" s="9" t="s">
        <v>56</v>
      </c>
      <c r="C499" s="9" t="s">
        <v>50</v>
      </c>
      <c r="D499" s="9" t="s">
        <v>22</v>
      </c>
      <c r="E499" s="9" t="s">
        <v>32</v>
      </c>
      <c r="F499" s="10">
        <v>269</v>
      </c>
      <c r="G499" s="10">
        <v>90</v>
      </c>
      <c r="H499" s="10">
        <v>109</v>
      </c>
      <c r="I499" s="11">
        <v>105.45</v>
      </c>
      <c r="J499" s="11">
        <v>53.06</v>
      </c>
      <c r="K499" s="10">
        <v>10</v>
      </c>
      <c r="L499" s="9" t="s">
        <v>24</v>
      </c>
      <c r="M499" s="9">
        <v>0</v>
      </c>
      <c r="N499" s="11">
        <v>56</v>
      </c>
      <c r="O499" s="26" t="s">
        <v>27</v>
      </c>
      <c r="P499" s="14">
        <f t="shared" si="7"/>
        <v>0.33457249070631973</v>
      </c>
      <c r="Q499" s="17">
        <f>Table1[[#This Row],[Price]]-Table1[[#This Row],[Competitor Pricing]]</f>
        <v>-2.9399999999999977</v>
      </c>
    </row>
    <row r="500" spans="1:17" x14ac:dyDescent="0.3">
      <c r="A500" s="20">
        <v>44566</v>
      </c>
      <c r="B500" s="6" t="s">
        <v>56</v>
      </c>
      <c r="C500" s="6" t="s">
        <v>51</v>
      </c>
      <c r="D500" s="6" t="s">
        <v>38</v>
      </c>
      <c r="E500" s="6" t="s">
        <v>23</v>
      </c>
      <c r="F500" s="7">
        <v>444</v>
      </c>
      <c r="G500" s="7">
        <v>143</v>
      </c>
      <c r="H500" s="7">
        <v>196</v>
      </c>
      <c r="I500" s="8">
        <v>153</v>
      </c>
      <c r="J500" s="8">
        <v>61.9</v>
      </c>
      <c r="K500" s="7">
        <v>15</v>
      </c>
      <c r="L500" s="6" t="s">
        <v>44</v>
      </c>
      <c r="M500" s="6">
        <v>0</v>
      </c>
      <c r="N500" s="8">
        <v>60.14</v>
      </c>
      <c r="O500" s="25" t="s">
        <v>20</v>
      </c>
      <c r="P500" s="14">
        <f t="shared" si="7"/>
        <v>0.32207207207207206</v>
      </c>
      <c r="Q500" s="17">
        <f>Table1[[#This Row],[Price]]-Table1[[#This Row],[Competitor Pricing]]</f>
        <v>1.759999999999998</v>
      </c>
    </row>
    <row r="501" spans="1:17" x14ac:dyDescent="0.3">
      <c r="A501" s="21">
        <v>44566</v>
      </c>
      <c r="B501" s="9" t="s">
        <v>56</v>
      </c>
      <c r="C501" s="9" t="s">
        <v>52</v>
      </c>
      <c r="D501" s="9" t="s">
        <v>17</v>
      </c>
      <c r="E501" s="9" t="s">
        <v>23</v>
      </c>
      <c r="F501" s="10">
        <v>243</v>
      </c>
      <c r="G501" s="10">
        <v>36</v>
      </c>
      <c r="H501" s="10">
        <v>107</v>
      </c>
      <c r="I501" s="11">
        <v>47.12</v>
      </c>
      <c r="J501" s="11">
        <v>53.65</v>
      </c>
      <c r="K501" s="10">
        <v>20</v>
      </c>
      <c r="L501" s="9" t="s">
        <v>29</v>
      </c>
      <c r="M501" s="9">
        <v>1</v>
      </c>
      <c r="N501" s="11">
        <v>49.72</v>
      </c>
      <c r="O501" s="26" t="s">
        <v>34</v>
      </c>
      <c r="P501" s="14">
        <f t="shared" si="7"/>
        <v>0.14814814814814814</v>
      </c>
      <c r="Q501" s="17">
        <f>Table1[[#This Row],[Price]]-Table1[[#This Row],[Competitor Pricing]]</f>
        <v>3.9299999999999997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DF764-5559-4CBD-A727-78478694CDF5}">
  <dimension ref="A2:P55"/>
  <sheetViews>
    <sheetView tabSelected="1" topLeftCell="A19" zoomScale="76" zoomScaleNormal="76" workbookViewId="0">
      <selection activeCell="M54" sqref="M54:N54"/>
    </sheetView>
  </sheetViews>
  <sheetFormatPr defaultRowHeight="14.4" x14ac:dyDescent="0.3"/>
  <cols>
    <col min="1" max="1" width="12.5546875" bestFit="1" customWidth="1"/>
    <col min="2" max="2" width="16" bestFit="1" customWidth="1"/>
    <col min="13" max="13" width="12.5546875" bestFit="1" customWidth="1"/>
    <col min="14" max="14" width="24.109375" bestFit="1" customWidth="1"/>
  </cols>
  <sheetData>
    <row r="2" spans="1:16" x14ac:dyDescent="0.3">
      <c r="A2" s="42" t="s">
        <v>57</v>
      </c>
      <c r="B2" s="42"/>
      <c r="C2" s="42"/>
      <c r="M2" s="42" t="s">
        <v>86</v>
      </c>
      <c r="N2" s="42"/>
      <c r="O2" s="22"/>
      <c r="P2" s="22"/>
    </row>
    <row r="3" spans="1:16" x14ac:dyDescent="0.3">
      <c r="A3" s="43" t="s">
        <v>62</v>
      </c>
      <c r="B3" s="43"/>
      <c r="M3" s="43" t="s">
        <v>87</v>
      </c>
      <c r="N3" s="43"/>
    </row>
    <row r="4" spans="1:16" x14ac:dyDescent="0.3">
      <c r="A4" s="43" t="s">
        <v>63</v>
      </c>
      <c r="B4" s="43"/>
      <c r="M4" s="43" t="s">
        <v>89</v>
      </c>
      <c r="N4" s="43"/>
    </row>
    <row r="5" spans="1:16" x14ac:dyDescent="0.3">
      <c r="A5" s="43" t="s">
        <v>61</v>
      </c>
      <c r="B5" s="43"/>
      <c r="M5" s="43" t="s">
        <v>90</v>
      </c>
      <c r="N5" s="43"/>
    </row>
    <row r="6" spans="1:16" x14ac:dyDescent="0.3">
      <c r="A6" s="13" t="s">
        <v>58</v>
      </c>
      <c r="B6" s="14" t="s">
        <v>60</v>
      </c>
      <c r="M6" s="13" t="s">
        <v>58</v>
      </c>
      <c r="N6" s="14" t="s">
        <v>88</v>
      </c>
    </row>
    <row r="7" spans="1:16" x14ac:dyDescent="0.3">
      <c r="A7" s="15" t="s">
        <v>38</v>
      </c>
      <c r="B7" s="16">
        <v>12301</v>
      </c>
      <c r="M7" s="15" t="s">
        <v>38</v>
      </c>
      <c r="N7" s="17">
        <v>60.46954545454544</v>
      </c>
    </row>
    <row r="8" spans="1:16" x14ac:dyDescent="0.3">
      <c r="A8" s="15" t="s">
        <v>31</v>
      </c>
      <c r="B8" s="16">
        <v>14787</v>
      </c>
      <c r="M8" s="15" t="s">
        <v>31</v>
      </c>
      <c r="N8" s="17">
        <v>56.277999999999999</v>
      </c>
    </row>
    <row r="9" spans="1:16" x14ac:dyDescent="0.3">
      <c r="A9" s="15" t="s">
        <v>36</v>
      </c>
      <c r="B9" s="16">
        <v>9912</v>
      </c>
      <c r="M9" s="15" t="s">
        <v>36</v>
      </c>
      <c r="N9" s="17">
        <v>58.47094594594595</v>
      </c>
    </row>
    <row r="10" spans="1:16" x14ac:dyDescent="0.3">
      <c r="A10" s="15" t="s">
        <v>17</v>
      </c>
      <c r="B10" s="16">
        <v>14027</v>
      </c>
      <c r="M10" s="15" t="s">
        <v>17</v>
      </c>
      <c r="N10" s="17">
        <v>54.771441441441453</v>
      </c>
    </row>
    <row r="11" spans="1:16" x14ac:dyDescent="0.3">
      <c r="A11" s="15" t="s">
        <v>22</v>
      </c>
      <c r="B11" s="16">
        <v>17209</v>
      </c>
      <c r="M11" s="15" t="s">
        <v>22</v>
      </c>
      <c r="N11" s="17">
        <v>55.379672131147551</v>
      </c>
    </row>
    <row r="12" spans="1:16" x14ac:dyDescent="0.3">
      <c r="A12" s="15" t="s">
        <v>59</v>
      </c>
      <c r="B12" s="16">
        <v>68236</v>
      </c>
      <c r="M12" s="15" t="s">
        <v>59</v>
      </c>
      <c r="N12" s="17">
        <v>56.786619999999985</v>
      </c>
    </row>
    <row r="13" spans="1:16" x14ac:dyDescent="0.3">
      <c r="A13" s="41" t="s">
        <v>68</v>
      </c>
      <c r="B13" s="41"/>
      <c r="M13" s="44" t="s">
        <v>91</v>
      </c>
      <c r="N13" s="44"/>
    </row>
    <row r="14" spans="1:16" x14ac:dyDescent="0.3">
      <c r="A14" s="41" t="s">
        <v>69</v>
      </c>
      <c r="B14" s="41"/>
      <c r="M14" s="41" t="s">
        <v>92</v>
      </c>
      <c r="N14" s="41"/>
    </row>
    <row r="15" spans="1:16" x14ac:dyDescent="0.3">
      <c r="A15" s="41" t="s">
        <v>70</v>
      </c>
      <c r="B15" s="41"/>
      <c r="M15" s="41" t="s">
        <v>93</v>
      </c>
      <c r="N15" s="41"/>
    </row>
    <row r="16" spans="1:16" x14ac:dyDescent="0.3">
      <c r="A16" s="41" t="s">
        <v>72</v>
      </c>
      <c r="B16" s="41"/>
      <c r="M16" s="41" t="s">
        <v>94</v>
      </c>
      <c r="N16" s="41"/>
    </row>
    <row r="17" spans="1:14" x14ac:dyDescent="0.3">
      <c r="A17" s="41" t="s">
        <v>71</v>
      </c>
      <c r="B17" s="41"/>
      <c r="M17" s="41" t="s">
        <v>95</v>
      </c>
      <c r="N17" s="41"/>
    </row>
    <row r="18" spans="1:14" x14ac:dyDescent="0.3">
      <c r="A18" s="12"/>
      <c r="B18" s="12"/>
      <c r="M18" s="12"/>
      <c r="N18" s="12"/>
    </row>
    <row r="19" spans="1:14" x14ac:dyDescent="0.3">
      <c r="A19" s="12"/>
      <c r="B19" s="12"/>
      <c r="M19" s="12"/>
      <c r="N19" s="12"/>
    </row>
    <row r="22" spans="1:14" x14ac:dyDescent="0.3">
      <c r="A22" s="42" t="s">
        <v>64</v>
      </c>
      <c r="B22" s="42"/>
      <c r="M22" s="42" t="s">
        <v>96</v>
      </c>
      <c r="N22" s="42"/>
    </row>
    <row r="23" spans="1:14" x14ac:dyDescent="0.3">
      <c r="A23" s="43" t="s">
        <v>67</v>
      </c>
      <c r="B23" s="43"/>
      <c r="M23" s="43" t="s">
        <v>99</v>
      </c>
      <c r="N23" s="43"/>
    </row>
    <row r="24" spans="1:14" x14ac:dyDescent="0.3">
      <c r="A24" s="43" t="s">
        <v>65</v>
      </c>
      <c r="B24" s="43"/>
      <c r="M24" s="43" t="s">
        <v>98</v>
      </c>
      <c r="N24" s="43"/>
    </row>
    <row r="25" spans="1:14" x14ac:dyDescent="0.3">
      <c r="A25" s="43" t="s">
        <v>66</v>
      </c>
      <c r="B25" s="43"/>
      <c r="M25" s="43" t="s">
        <v>97</v>
      </c>
      <c r="N25" s="43"/>
    </row>
    <row r="26" spans="1:14" x14ac:dyDescent="0.3">
      <c r="A26" s="13" t="s">
        <v>58</v>
      </c>
      <c r="B26" s="14" t="s">
        <v>60</v>
      </c>
      <c r="M26" s="13" t="s">
        <v>58</v>
      </c>
      <c r="N26" s="14" t="s">
        <v>100</v>
      </c>
    </row>
    <row r="27" spans="1:14" x14ac:dyDescent="0.3">
      <c r="A27" s="15" t="s">
        <v>32</v>
      </c>
      <c r="B27" s="16">
        <v>17145</v>
      </c>
      <c r="M27" s="15" t="s">
        <v>38</v>
      </c>
      <c r="N27" s="18">
        <v>0.52275735941116797</v>
      </c>
    </row>
    <row r="28" spans="1:14" x14ac:dyDescent="0.3">
      <c r="A28" s="15" t="s">
        <v>18</v>
      </c>
      <c r="B28" s="16">
        <v>16308</v>
      </c>
      <c r="M28" s="15" t="s">
        <v>31</v>
      </c>
      <c r="N28" s="18">
        <v>0.4974988102914209</v>
      </c>
    </row>
    <row r="29" spans="1:14" x14ac:dyDescent="0.3">
      <c r="A29" s="15" t="s">
        <v>23</v>
      </c>
      <c r="B29" s="16">
        <v>14533</v>
      </c>
      <c r="M29" s="15" t="s">
        <v>36</v>
      </c>
      <c r="N29" s="18">
        <v>0.46464856371405872</v>
      </c>
    </row>
    <row r="30" spans="1:14" x14ac:dyDescent="0.3">
      <c r="A30" s="15" t="s">
        <v>26</v>
      </c>
      <c r="B30" s="16">
        <v>20250</v>
      </c>
      <c r="M30" s="15" t="s">
        <v>17</v>
      </c>
      <c r="N30" s="18">
        <v>0.45682799774826194</v>
      </c>
    </row>
    <row r="31" spans="1:14" x14ac:dyDescent="0.3">
      <c r="A31" s="15" t="s">
        <v>59</v>
      </c>
      <c r="B31" s="16">
        <v>68236</v>
      </c>
      <c r="M31" s="15" t="s">
        <v>22</v>
      </c>
      <c r="N31" s="18">
        <v>0.50462326966251714</v>
      </c>
    </row>
    <row r="32" spans="1:14" x14ac:dyDescent="0.3">
      <c r="A32" s="44" t="s">
        <v>73</v>
      </c>
      <c r="B32" s="44"/>
      <c r="M32" s="15" t="s">
        <v>59</v>
      </c>
      <c r="N32" s="18">
        <v>0.48979192614501293</v>
      </c>
    </row>
    <row r="33" spans="1:14" x14ac:dyDescent="0.3">
      <c r="A33" s="41" t="s">
        <v>74</v>
      </c>
      <c r="B33" s="41"/>
      <c r="M33" s="44" t="s">
        <v>107</v>
      </c>
      <c r="N33" s="44"/>
    </row>
    <row r="34" spans="1:14" x14ac:dyDescent="0.3">
      <c r="A34" s="41" t="s">
        <v>75</v>
      </c>
      <c r="B34" s="41"/>
      <c r="M34" s="41" t="s">
        <v>101</v>
      </c>
      <c r="N34" s="41"/>
    </row>
    <row r="35" spans="1:14" x14ac:dyDescent="0.3">
      <c r="A35" s="41" t="s">
        <v>76</v>
      </c>
      <c r="B35" s="41"/>
      <c r="M35" s="41" t="s">
        <v>108</v>
      </c>
      <c r="N35" s="41"/>
    </row>
    <row r="36" spans="1:14" x14ac:dyDescent="0.3">
      <c r="M36" s="41" t="s">
        <v>109</v>
      </c>
      <c r="N36" s="41"/>
    </row>
    <row r="41" spans="1:14" x14ac:dyDescent="0.3">
      <c r="A41" s="42" t="s">
        <v>77</v>
      </c>
      <c r="B41" s="42"/>
      <c r="M41" s="42" t="s">
        <v>102</v>
      </c>
      <c r="N41" s="42"/>
    </row>
    <row r="42" spans="1:14" x14ac:dyDescent="0.3">
      <c r="A42" s="43" t="s">
        <v>80</v>
      </c>
      <c r="B42" s="43"/>
      <c r="M42" s="43" t="s">
        <v>104</v>
      </c>
      <c r="N42" s="43"/>
    </row>
    <row r="43" spans="1:14" x14ac:dyDescent="0.3">
      <c r="A43" s="43" t="s">
        <v>78</v>
      </c>
      <c r="B43" s="43"/>
      <c r="M43" s="45" t="s">
        <v>103</v>
      </c>
      <c r="N43" s="45"/>
    </row>
    <row r="44" spans="1:14" x14ac:dyDescent="0.3">
      <c r="A44" s="43" t="s">
        <v>79</v>
      </c>
      <c r="B44" s="43"/>
      <c r="M44" s="13" t="s">
        <v>58</v>
      </c>
      <c r="N44" s="14" t="s">
        <v>105</v>
      </c>
    </row>
    <row r="45" spans="1:14" x14ac:dyDescent="0.3">
      <c r="A45" s="13" t="s">
        <v>58</v>
      </c>
      <c r="B45" s="14" t="s">
        <v>60</v>
      </c>
      <c r="M45" s="15" t="s">
        <v>38</v>
      </c>
      <c r="N45" s="24">
        <v>-0.53977272727272796</v>
      </c>
    </row>
    <row r="46" spans="1:14" x14ac:dyDescent="0.3">
      <c r="A46" s="15" t="s">
        <v>20</v>
      </c>
      <c r="B46" s="16">
        <v>15606</v>
      </c>
      <c r="M46" s="15" t="s">
        <v>31</v>
      </c>
      <c r="N46" s="24">
        <v>0.2319047619047615</v>
      </c>
    </row>
    <row r="47" spans="1:14" x14ac:dyDescent="0.3">
      <c r="A47" s="15" t="s">
        <v>39</v>
      </c>
      <c r="B47" s="16">
        <v>18780</v>
      </c>
      <c r="M47" s="15" t="s">
        <v>36</v>
      </c>
      <c r="N47" s="24">
        <v>-0.1749999999999996</v>
      </c>
    </row>
    <row r="48" spans="1:14" x14ac:dyDescent="0.3">
      <c r="A48" s="15" t="s">
        <v>27</v>
      </c>
      <c r="B48" s="16">
        <v>16342</v>
      </c>
      <c r="M48" s="15" t="s">
        <v>17</v>
      </c>
      <c r="N48" s="24">
        <v>-0.11693693693693646</v>
      </c>
    </row>
    <row r="49" spans="1:14" x14ac:dyDescent="0.3">
      <c r="A49" s="15" t="s">
        <v>34</v>
      </c>
      <c r="B49" s="16">
        <v>17508</v>
      </c>
      <c r="M49" s="15" t="s">
        <v>22</v>
      </c>
      <c r="N49" s="24">
        <v>0.2168852459016393</v>
      </c>
    </row>
    <row r="50" spans="1:14" x14ac:dyDescent="0.3">
      <c r="A50" s="15" t="s">
        <v>59</v>
      </c>
      <c r="B50" s="16">
        <v>68236</v>
      </c>
      <c r="M50" s="15" t="s">
        <v>59</v>
      </c>
      <c r="N50" s="24">
        <v>-4.5239999999999995E-2</v>
      </c>
    </row>
    <row r="51" spans="1:14" x14ac:dyDescent="0.3">
      <c r="A51" s="44" t="s">
        <v>81</v>
      </c>
      <c r="B51" s="44"/>
      <c r="M51" s="44" t="s">
        <v>111</v>
      </c>
      <c r="N51" s="44"/>
    </row>
    <row r="52" spans="1:14" x14ac:dyDescent="0.3">
      <c r="A52" s="41" t="s">
        <v>82</v>
      </c>
      <c r="B52" s="41"/>
      <c r="M52" s="41" t="s">
        <v>112</v>
      </c>
      <c r="N52" s="41"/>
    </row>
    <row r="53" spans="1:14" x14ac:dyDescent="0.3">
      <c r="A53" s="41" t="s">
        <v>83</v>
      </c>
      <c r="B53" s="41"/>
      <c r="M53" s="41" t="s">
        <v>113</v>
      </c>
      <c r="N53" s="41"/>
    </row>
    <row r="54" spans="1:14" x14ac:dyDescent="0.3">
      <c r="A54" s="41" t="s">
        <v>84</v>
      </c>
      <c r="B54" s="41"/>
      <c r="M54" s="41" t="s">
        <v>114</v>
      </c>
      <c r="N54" s="41"/>
    </row>
    <row r="55" spans="1:14" x14ac:dyDescent="0.3">
      <c r="A55" s="41" t="s">
        <v>85</v>
      </c>
      <c r="B55" s="41"/>
    </row>
  </sheetData>
  <mergeCells count="50">
    <mergeCell ref="M33:N33"/>
    <mergeCell ref="M42:N42"/>
    <mergeCell ref="M41:N41"/>
    <mergeCell ref="M54:N54"/>
    <mergeCell ref="M53:N53"/>
    <mergeCell ref="M52:N52"/>
    <mergeCell ref="M51:N51"/>
    <mergeCell ref="M43:N43"/>
    <mergeCell ref="M17:N17"/>
    <mergeCell ref="M22:N22"/>
    <mergeCell ref="M25:N25"/>
    <mergeCell ref="M24:N24"/>
    <mergeCell ref="M23:N23"/>
    <mergeCell ref="A55:B55"/>
    <mergeCell ref="M5:N5"/>
    <mergeCell ref="M4:N4"/>
    <mergeCell ref="M3:N3"/>
    <mergeCell ref="M13:N13"/>
    <mergeCell ref="M14:N14"/>
    <mergeCell ref="A42:B42"/>
    <mergeCell ref="A43:B43"/>
    <mergeCell ref="A44:B44"/>
    <mergeCell ref="A51:B51"/>
    <mergeCell ref="A52:B52"/>
    <mergeCell ref="A53:B53"/>
    <mergeCell ref="A32:B32"/>
    <mergeCell ref="A33:B33"/>
    <mergeCell ref="M15:N15"/>
    <mergeCell ref="M16:N16"/>
    <mergeCell ref="A17:B17"/>
    <mergeCell ref="A24:B24"/>
    <mergeCell ref="A54:B54"/>
    <mergeCell ref="A41:B41"/>
    <mergeCell ref="A25:B25"/>
    <mergeCell ref="A13:B13"/>
    <mergeCell ref="A2:C2"/>
    <mergeCell ref="M34:N34"/>
    <mergeCell ref="M35:N35"/>
    <mergeCell ref="M36:N36"/>
    <mergeCell ref="M2:N2"/>
    <mergeCell ref="A3:B3"/>
    <mergeCell ref="A4:B4"/>
    <mergeCell ref="A5:B5"/>
    <mergeCell ref="A22:B22"/>
    <mergeCell ref="A23:B23"/>
    <mergeCell ref="A34:B34"/>
    <mergeCell ref="A35:B35"/>
    <mergeCell ref="A14:B14"/>
    <mergeCell ref="A15:B15"/>
    <mergeCell ref="A16:B16"/>
  </mergeCell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2EBBA-1700-4885-9BEA-F9216F10C329}">
  <dimension ref="F2:AD14"/>
  <sheetViews>
    <sheetView showGridLines="0" topLeftCell="A2" zoomScale="53" zoomScaleNormal="53" workbookViewId="0">
      <selection activeCell="AD12" sqref="AD12"/>
    </sheetView>
  </sheetViews>
  <sheetFormatPr defaultRowHeight="14.4" x14ac:dyDescent="0.3"/>
  <sheetData>
    <row r="2" spans="6:30" ht="33.6" x14ac:dyDescent="0.65">
      <c r="F2" s="39" t="s">
        <v>119</v>
      </c>
      <c r="G2" s="39"/>
      <c r="H2" s="39"/>
      <c r="I2" s="39"/>
      <c r="J2" s="39"/>
      <c r="K2" s="39"/>
      <c r="L2" s="39"/>
      <c r="M2" s="39"/>
      <c r="N2" s="39"/>
      <c r="O2" s="39"/>
      <c r="P2" s="39"/>
      <c r="Q2" s="39"/>
      <c r="R2" s="39"/>
      <c r="S2" s="39"/>
      <c r="T2" s="39"/>
      <c r="U2" s="39"/>
      <c r="V2" s="39"/>
    </row>
    <row r="3" spans="6:30" ht="21" x14ac:dyDescent="0.4">
      <c r="F3" s="40" t="s">
        <v>120</v>
      </c>
      <c r="G3" s="40"/>
      <c r="H3" s="40"/>
      <c r="I3" s="40"/>
      <c r="J3" s="40"/>
      <c r="K3" s="40"/>
      <c r="L3" s="40"/>
      <c r="M3" s="40"/>
      <c r="N3" s="40"/>
      <c r="O3" s="40"/>
      <c r="P3" s="34"/>
      <c r="Q3" s="34"/>
      <c r="R3" s="34"/>
      <c r="S3" s="34"/>
      <c r="T3" s="34"/>
      <c r="U3" s="34"/>
      <c r="V3" s="34"/>
    </row>
    <row r="11" spans="6:30" x14ac:dyDescent="0.3">
      <c r="AD11" s="37">
        <f>AVERAGE(Table1[Stock Efficiency])</f>
        <v>0.48979192614501266</v>
      </c>
    </row>
    <row r="12" spans="6:30" x14ac:dyDescent="0.3">
      <c r="AD12" s="36" t="str">
        <f>INDEX(Sheet3!B65:B69,MATCH(MAX(Sheet3!C65:C69),Sheet3!C65:C69,0))</f>
        <v>Toys</v>
      </c>
    </row>
    <row r="13" spans="6:30" x14ac:dyDescent="0.3">
      <c r="AD13" s="38">
        <f>AVERAGE(Table1[Price])</f>
        <v>56.786620000000035</v>
      </c>
    </row>
    <row r="14" spans="6:30" x14ac:dyDescent="0.3">
      <c r="AD14" s="36">
        <f>SUM(Table1[Units Sold])</f>
        <v>68236</v>
      </c>
    </row>
  </sheetData>
  <mergeCells count="2">
    <mergeCell ref="F2:V2"/>
    <mergeCell ref="F3:O3"/>
  </mergeCells>
  <pageMargins left="0.7" right="0.7" top="0.75" bottom="0.75" header="0.3" footer="0.3"/>
  <pageSetup paperSize="9" orientation="portrait" horizontalDpi="4294967295" verticalDpi="4294967295"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F9AB8-4D23-4AF8-B607-6651CA13D2E4}">
  <dimension ref="B2:L75"/>
  <sheetViews>
    <sheetView topLeftCell="A52" workbookViewId="0">
      <selection activeCell="AA15" sqref="AA15"/>
    </sheetView>
  </sheetViews>
  <sheetFormatPr defaultRowHeight="14.4" x14ac:dyDescent="0.3"/>
  <cols>
    <col min="2" max="2" width="12.5546875" bestFit="1" customWidth="1"/>
    <col min="3" max="3" width="24.109375" bestFit="1" customWidth="1"/>
    <col min="4" max="4" width="12.5546875" bestFit="1" customWidth="1"/>
    <col min="5" max="5" width="16" bestFit="1" customWidth="1"/>
    <col min="6" max="6" width="8.77734375" bestFit="1" customWidth="1"/>
    <col min="7" max="7" width="6" bestFit="1" customWidth="1"/>
    <col min="8" max="8" width="10.77734375" bestFit="1" customWidth="1"/>
    <col min="9" max="9" width="8" bestFit="1" customWidth="1"/>
    <col min="10" max="10" width="10" bestFit="1" customWidth="1"/>
    <col min="11" max="11" width="12.5546875" bestFit="1" customWidth="1"/>
    <col min="12" max="12" width="16" bestFit="1" customWidth="1"/>
    <col min="13" max="13" width="5" bestFit="1" customWidth="1"/>
    <col min="14" max="14" width="10.5546875" bestFit="1" customWidth="1"/>
    <col min="15" max="15" width="8" bestFit="1" customWidth="1"/>
    <col min="16" max="16" width="10" bestFit="1" customWidth="1"/>
    <col min="17" max="17" width="8.6640625" bestFit="1" customWidth="1"/>
    <col min="18" max="18" width="8.77734375" bestFit="1" customWidth="1"/>
    <col min="19" max="19" width="5" bestFit="1" customWidth="1"/>
    <col min="20" max="20" width="10.6640625" bestFit="1" customWidth="1"/>
    <col min="21" max="21" width="8" bestFit="1" customWidth="1"/>
    <col min="22" max="22" width="10" bestFit="1" customWidth="1"/>
    <col min="23" max="23" width="8.6640625" bestFit="1" customWidth="1"/>
    <col min="24" max="24" width="8.77734375" bestFit="1" customWidth="1"/>
    <col min="25" max="25" width="5" bestFit="1" customWidth="1"/>
    <col min="26" max="26" width="9.88671875" bestFit="1" customWidth="1"/>
    <col min="27" max="27" width="10.77734375" bestFit="1" customWidth="1"/>
  </cols>
  <sheetData>
    <row r="2" spans="2:8" x14ac:dyDescent="0.3">
      <c r="B2" s="27" t="s">
        <v>60</v>
      </c>
      <c r="C2" s="27" t="s">
        <v>115</v>
      </c>
    </row>
    <row r="3" spans="2:8" x14ac:dyDescent="0.3">
      <c r="B3" s="27" t="s">
        <v>58</v>
      </c>
      <c r="C3" t="s">
        <v>38</v>
      </c>
      <c r="D3" t="s">
        <v>31</v>
      </c>
      <c r="E3" t="s">
        <v>36</v>
      </c>
      <c r="F3" t="s">
        <v>17</v>
      </c>
      <c r="G3" t="s">
        <v>22</v>
      </c>
      <c r="H3" t="s">
        <v>59</v>
      </c>
    </row>
    <row r="4" spans="2:8" x14ac:dyDescent="0.3">
      <c r="B4" s="28" t="s">
        <v>32</v>
      </c>
      <c r="C4" s="29">
        <v>3155</v>
      </c>
      <c r="D4" s="29">
        <v>4472</v>
      </c>
      <c r="E4" s="29">
        <v>3435</v>
      </c>
      <c r="F4" s="29">
        <v>3323</v>
      </c>
      <c r="G4" s="29">
        <v>2760</v>
      </c>
      <c r="H4" s="29">
        <v>17145</v>
      </c>
    </row>
    <row r="5" spans="2:8" x14ac:dyDescent="0.3">
      <c r="B5" s="28" t="s">
        <v>18</v>
      </c>
      <c r="C5" s="29">
        <v>1780</v>
      </c>
      <c r="D5" s="29">
        <v>3838</v>
      </c>
      <c r="E5" s="29">
        <v>1631</v>
      </c>
      <c r="F5" s="29">
        <v>3013</v>
      </c>
      <c r="G5" s="29">
        <v>6046</v>
      </c>
      <c r="H5" s="29">
        <v>16308</v>
      </c>
    </row>
    <row r="6" spans="2:8" x14ac:dyDescent="0.3">
      <c r="B6" s="28" t="s">
        <v>23</v>
      </c>
      <c r="C6" s="29">
        <v>3012</v>
      </c>
      <c r="D6" s="29">
        <v>2406</v>
      </c>
      <c r="E6" s="29">
        <v>1915</v>
      </c>
      <c r="F6" s="29">
        <v>3380</v>
      </c>
      <c r="G6" s="29">
        <v>3820</v>
      </c>
      <c r="H6" s="29">
        <v>14533</v>
      </c>
    </row>
    <row r="7" spans="2:8" x14ac:dyDescent="0.3">
      <c r="B7" s="28" t="s">
        <v>26</v>
      </c>
      <c r="C7" s="29">
        <v>4354</v>
      </c>
      <c r="D7" s="29">
        <v>4071</v>
      </c>
      <c r="E7" s="29">
        <v>2931</v>
      </c>
      <c r="F7" s="29">
        <v>4311</v>
      </c>
      <c r="G7" s="29">
        <v>4583</v>
      </c>
      <c r="H7" s="29">
        <v>20250</v>
      </c>
    </row>
    <row r="8" spans="2:8" x14ac:dyDescent="0.3">
      <c r="B8" s="28" t="s">
        <v>59</v>
      </c>
      <c r="C8" s="29">
        <v>12301</v>
      </c>
      <c r="D8" s="29">
        <v>14787</v>
      </c>
      <c r="E8" s="29">
        <v>9912</v>
      </c>
      <c r="F8" s="29">
        <v>14027</v>
      </c>
      <c r="G8" s="29">
        <v>17209</v>
      </c>
      <c r="H8" s="29">
        <v>68236</v>
      </c>
    </row>
    <row r="20" spans="2:4" x14ac:dyDescent="0.3">
      <c r="B20" s="27" t="s">
        <v>58</v>
      </c>
      <c r="C20" t="s">
        <v>88</v>
      </c>
      <c r="D20" t="s">
        <v>116</v>
      </c>
    </row>
    <row r="21" spans="2:4" x14ac:dyDescent="0.3">
      <c r="B21" s="28" t="s">
        <v>38</v>
      </c>
      <c r="C21" s="30">
        <v>60.46954545454544</v>
      </c>
      <c r="D21" s="30">
        <v>61.009318181818166</v>
      </c>
    </row>
    <row r="22" spans="2:4" x14ac:dyDescent="0.3">
      <c r="B22" s="28" t="s">
        <v>31</v>
      </c>
      <c r="C22" s="30">
        <v>56.277999999999999</v>
      </c>
      <c r="D22" s="30">
        <v>56.046095238095276</v>
      </c>
    </row>
    <row r="23" spans="2:4" x14ac:dyDescent="0.3">
      <c r="B23" s="28" t="s">
        <v>36</v>
      </c>
      <c r="C23" s="30">
        <v>58.47094594594595</v>
      </c>
      <c r="D23" s="30">
        <v>58.64594594594594</v>
      </c>
    </row>
    <row r="24" spans="2:4" x14ac:dyDescent="0.3">
      <c r="B24" s="28" t="s">
        <v>17</v>
      </c>
      <c r="C24" s="30">
        <v>54.771441441441453</v>
      </c>
      <c r="D24" s="30">
        <v>54.888378378378391</v>
      </c>
    </row>
    <row r="25" spans="2:4" x14ac:dyDescent="0.3">
      <c r="B25" s="28" t="s">
        <v>22</v>
      </c>
      <c r="C25" s="30">
        <v>55.379672131147551</v>
      </c>
      <c r="D25" s="30">
        <v>55.162786885245914</v>
      </c>
    </row>
    <row r="26" spans="2:4" x14ac:dyDescent="0.3">
      <c r="B26" s="28" t="s">
        <v>59</v>
      </c>
      <c r="C26" s="30">
        <v>56.786619999999985</v>
      </c>
      <c r="D26" s="30">
        <v>56.831860000000013</v>
      </c>
    </row>
    <row r="39" spans="2:3" x14ac:dyDescent="0.3">
      <c r="B39" s="27" t="s">
        <v>58</v>
      </c>
      <c r="C39" t="s">
        <v>60</v>
      </c>
    </row>
    <row r="40" spans="2:3" x14ac:dyDescent="0.3">
      <c r="B40" s="31">
        <v>0</v>
      </c>
      <c r="C40" s="29">
        <v>12167</v>
      </c>
    </row>
    <row r="41" spans="2:3" x14ac:dyDescent="0.3">
      <c r="B41" s="31">
        <v>5</v>
      </c>
      <c r="C41" s="29">
        <v>14270</v>
      </c>
    </row>
    <row r="42" spans="2:3" x14ac:dyDescent="0.3">
      <c r="B42" s="31">
        <v>10</v>
      </c>
      <c r="C42" s="29">
        <v>13269</v>
      </c>
    </row>
    <row r="43" spans="2:3" x14ac:dyDescent="0.3">
      <c r="B43" s="31">
        <v>15</v>
      </c>
      <c r="C43" s="29">
        <v>12323</v>
      </c>
    </row>
    <row r="44" spans="2:3" x14ac:dyDescent="0.3">
      <c r="B44" s="31">
        <v>20</v>
      </c>
      <c r="C44" s="29">
        <v>16207</v>
      </c>
    </row>
    <row r="45" spans="2:3" x14ac:dyDescent="0.3">
      <c r="B45" s="31" t="s">
        <v>59</v>
      </c>
      <c r="C45" s="29">
        <v>68236</v>
      </c>
    </row>
    <row r="54" spans="2:12" x14ac:dyDescent="0.3">
      <c r="B54" s="27" t="s">
        <v>58</v>
      </c>
      <c r="C54" t="s">
        <v>100</v>
      </c>
      <c r="D54" t="s">
        <v>117</v>
      </c>
      <c r="E54" t="s">
        <v>118</v>
      </c>
    </row>
    <row r="55" spans="2:12" x14ac:dyDescent="0.3">
      <c r="B55" s="28" t="s">
        <v>38</v>
      </c>
      <c r="C55" s="32">
        <v>0.52275735941116797</v>
      </c>
      <c r="D55" s="29">
        <v>139.78409090909091</v>
      </c>
      <c r="E55" s="33">
        <v>143.67306818181831</v>
      </c>
    </row>
    <row r="56" spans="2:12" x14ac:dyDescent="0.3">
      <c r="B56" s="28" t="s">
        <v>31</v>
      </c>
      <c r="C56" s="32">
        <v>0.4974988102914209</v>
      </c>
      <c r="D56" s="29">
        <v>140.82857142857142</v>
      </c>
      <c r="E56" s="33">
        <v>145.37295238095234</v>
      </c>
    </row>
    <row r="57" spans="2:12" x14ac:dyDescent="0.3">
      <c r="B57" s="28" t="s">
        <v>36</v>
      </c>
      <c r="C57" s="32">
        <v>0.46464856371405872</v>
      </c>
      <c r="D57" s="29">
        <v>133.94594594594594</v>
      </c>
      <c r="E57" s="33">
        <v>139.05054054054051</v>
      </c>
    </row>
    <row r="58" spans="2:12" x14ac:dyDescent="0.3">
      <c r="B58" s="28" t="s">
        <v>17</v>
      </c>
      <c r="C58" s="32">
        <v>0.45682799774826194</v>
      </c>
      <c r="D58" s="29">
        <v>126.36936936936937</v>
      </c>
      <c r="E58" s="33">
        <v>131.8512612612613</v>
      </c>
    </row>
    <row r="59" spans="2:12" x14ac:dyDescent="0.3">
      <c r="B59" s="28" t="s">
        <v>22</v>
      </c>
      <c r="C59" s="32">
        <v>0.50462326966251714</v>
      </c>
      <c r="D59" s="29">
        <v>141.05737704918033</v>
      </c>
      <c r="E59" s="33">
        <v>147.49983606557379</v>
      </c>
    </row>
    <row r="60" spans="2:12" x14ac:dyDescent="0.3">
      <c r="B60" s="28" t="s">
        <v>59</v>
      </c>
      <c r="C60" s="32">
        <v>0.48979192614501293</v>
      </c>
      <c r="D60" s="29">
        <v>136.47200000000001</v>
      </c>
      <c r="E60" s="33">
        <v>141.65519999999992</v>
      </c>
      <c r="K60" s="27" t="s">
        <v>58</v>
      </c>
      <c r="L60" t="s">
        <v>100</v>
      </c>
    </row>
    <row r="61" spans="2:12" x14ac:dyDescent="0.3">
      <c r="K61" s="28" t="s">
        <v>17</v>
      </c>
      <c r="L61">
        <v>0.45682799774826194</v>
      </c>
    </row>
    <row r="62" spans="2:12" x14ac:dyDescent="0.3">
      <c r="K62" s="28" t="s">
        <v>36</v>
      </c>
      <c r="L62">
        <v>0.46464856371405872</v>
      </c>
    </row>
    <row r="63" spans="2:12" x14ac:dyDescent="0.3">
      <c r="K63" s="28" t="s">
        <v>31</v>
      </c>
      <c r="L63">
        <v>0.4974988102914209</v>
      </c>
    </row>
    <row r="64" spans="2:12" x14ac:dyDescent="0.3">
      <c r="B64" s="27" t="s">
        <v>58</v>
      </c>
      <c r="C64" t="s">
        <v>60</v>
      </c>
      <c r="D64" s="27" t="s">
        <v>58</v>
      </c>
      <c r="E64" t="s">
        <v>60</v>
      </c>
      <c r="K64" s="28" t="s">
        <v>22</v>
      </c>
      <c r="L64">
        <v>0.50462326966251714</v>
      </c>
    </row>
    <row r="65" spans="2:12" x14ac:dyDescent="0.3">
      <c r="B65" s="28" t="s">
        <v>22</v>
      </c>
      <c r="C65" s="29">
        <v>17209</v>
      </c>
      <c r="D65" s="28" t="s">
        <v>23</v>
      </c>
      <c r="E65" s="29">
        <v>14533</v>
      </c>
      <c r="K65" s="28" t="s">
        <v>38</v>
      </c>
      <c r="L65">
        <v>0.52275735941116797</v>
      </c>
    </row>
    <row r="66" spans="2:12" x14ac:dyDescent="0.3">
      <c r="B66" s="28" t="s">
        <v>31</v>
      </c>
      <c r="C66" s="29">
        <v>14787</v>
      </c>
      <c r="D66" s="28" t="s">
        <v>18</v>
      </c>
      <c r="E66" s="29">
        <v>16308</v>
      </c>
      <c r="K66" s="28" t="s">
        <v>59</v>
      </c>
      <c r="L66">
        <v>0.48979192614501293</v>
      </c>
    </row>
    <row r="67" spans="2:12" x14ac:dyDescent="0.3">
      <c r="B67" s="28" t="s">
        <v>17</v>
      </c>
      <c r="C67" s="29">
        <v>14027</v>
      </c>
      <c r="D67" s="28" t="s">
        <v>32</v>
      </c>
      <c r="E67" s="29">
        <v>17145</v>
      </c>
    </row>
    <row r="68" spans="2:12" x14ac:dyDescent="0.3">
      <c r="B68" s="28" t="s">
        <v>38</v>
      </c>
      <c r="C68" s="29">
        <v>12301</v>
      </c>
      <c r="D68" s="28" t="s">
        <v>26</v>
      </c>
      <c r="E68" s="29">
        <v>20250</v>
      </c>
    </row>
    <row r="69" spans="2:12" x14ac:dyDescent="0.3">
      <c r="B69" s="28" t="s">
        <v>36</v>
      </c>
      <c r="C69" s="29">
        <v>9912</v>
      </c>
      <c r="D69" s="28" t="s">
        <v>59</v>
      </c>
      <c r="E69" s="29">
        <v>68236</v>
      </c>
      <c r="K69" s="27" t="s">
        <v>58</v>
      </c>
      <c r="L69" t="s">
        <v>60</v>
      </c>
    </row>
    <row r="70" spans="2:12" x14ac:dyDescent="0.3">
      <c r="B70" s="28" t="s">
        <v>59</v>
      </c>
      <c r="C70" s="29">
        <v>68236</v>
      </c>
      <c r="K70" s="35">
        <v>44562</v>
      </c>
      <c r="L70" s="29">
        <v>14484</v>
      </c>
    </row>
    <row r="71" spans="2:12" x14ac:dyDescent="0.3">
      <c r="K71" s="35">
        <v>44563</v>
      </c>
      <c r="L71" s="29">
        <v>13415</v>
      </c>
    </row>
    <row r="72" spans="2:12" x14ac:dyDescent="0.3">
      <c r="K72" s="35">
        <v>44564</v>
      </c>
      <c r="L72" s="29">
        <v>13681</v>
      </c>
    </row>
    <row r="73" spans="2:12" x14ac:dyDescent="0.3">
      <c r="K73" s="35">
        <v>44565</v>
      </c>
      <c r="L73" s="29">
        <v>14084</v>
      </c>
    </row>
    <row r="74" spans="2:12" x14ac:dyDescent="0.3">
      <c r="K74" s="35">
        <v>44566</v>
      </c>
      <c r="L74" s="29">
        <v>12572</v>
      </c>
    </row>
    <row r="75" spans="2:12" x14ac:dyDescent="0.3">
      <c r="K75" s="35" t="s">
        <v>59</v>
      </c>
      <c r="L75" s="29">
        <v>68236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 Store Inventory</vt:lpstr>
      <vt:lpstr>Pivot Analysis&amp;Charts</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SUDE AKIN</dc:creator>
  <cp:lastModifiedBy>SUDE AKIN</cp:lastModifiedBy>
  <dcterms:created xsi:type="dcterms:W3CDTF">2026-03-16T13:56:30Z</dcterms:created>
  <dcterms:modified xsi:type="dcterms:W3CDTF">2026-03-18T22:34:08Z</dcterms:modified>
</cp:coreProperties>
</file>